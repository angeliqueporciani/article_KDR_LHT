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alente\ownCloud\A_manip_comportement_MIVEGEC 2018-19-20\20221017_Manip_gîtes_larvaires\KdrKIS\"/>
    </mc:Choice>
  </mc:AlternateContent>
  <bookViews>
    <workbookView xWindow="0" yWindow="1800" windowWidth="0" windowHeight="0"/>
  </bookViews>
  <sheets>
    <sheet name="Feuil4" sheetId="4" r:id="rId1"/>
    <sheet name="Feuil2" sheetId="2" r:id="rId2"/>
    <sheet name="Feuil1" sheetId="1" r:id="rId3"/>
    <sheet name="Feuil3" sheetId="3" r:id="rId4"/>
    <sheet name="Feuil5" sheetId="5" r:id="rId5"/>
  </sheets>
  <definedNames>
    <definedName name="_xlnm._FilterDatabase" localSheetId="0" hidden="1">Feuil4!$B$1:$I$1</definedName>
  </definedNames>
  <calcPr calcId="162913"/>
  <pivotCaches>
    <pivotCache cacheId="2" r:id="rId6"/>
    <pivotCache cacheId="3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3" l="1"/>
  <c r="F10" i="3"/>
  <c r="E10" i="3"/>
  <c r="D10" i="3"/>
  <c r="G9" i="3"/>
  <c r="F9" i="3"/>
  <c r="E9" i="3"/>
  <c r="D9" i="3"/>
  <c r="G8" i="3"/>
  <c r="F8" i="3"/>
  <c r="E8" i="3"/>
  <c r="D8" i="3"/>
  <c r="G7" i="3"/>
  <c r="F7" i="3"/>
  <c r="E7" i="3"/>
  <c r="D7" i="3"/>
  <c r="G6" i="3"/>
  <c r="F6" i="3"/>
  <c r="E6" i="3"/>
  <c r="D6" i="3"/>
  <c r="G5" i="3"/>
  <c r="F5" i="3"/>
  <c r="E5" i="3"/>
  <c r="D5" i="3"/>
  <c r="G4" i="3"/>
  <c r="F4" i="3"/>
  <c r="E4" i="3"/>
  <c r="D4" i="3"/>
  <c r="G3" i="3"/>
  <c r="F3" i="3"/>
  <c r="E3" i="3"/>
  <c r="D3" i="3"/>
  <c r="G2" i="3"/>
  <c r="F2" i="3"/>
  <c r="E2" i="3"/>
  <c r="D2" i="3"/>
  <c r="C21" i="1" l="1"/>
  <c r="D20" i="1"/>
  <c r="E20" i="1"/>
  <c r="F20" i="1"/>
  <c r="G20" i="1"/>
  <c r="H20" i="1"/>
  <c r="I20" i="1"/>
  <c r="J20" i="1"/>
  <c r="D21" i="1"/>
  <c r="E21" i="1"/>
  <c r="F21" i="1"/>
  <c r="G21" i="1"/>
  <c r="H21" i="1"/>
  <c r="I21" i="1"/>
  <c r="J21" i="1"/>
  <c r="D22" i="1"/>
  <c r="E22" i="1"/>
  <c r="F22" i="1"/>
  <c r="G22" i="1"/>
  <c r="H22" i="1"/>
  <c r="I22" i="1"/>
  <c r="J22" i="1"/>
  <c r="C22" i="1"/>
  <c r="C20" i="1"/>
  <c r="D16" i="1"/>
  <c r="E16" i="1"/>
  <c r="F16" i="1"/>
  <c r="G16" i="1"/>
  <c r="H16" i="1"/>
  <c r="I16" i="1"/>
  <c r="J16" i="1"/>
  <c r="C16" i="1"/>
  <c r="D15" i="1"/>
  <c r="E15" i="1"/>
  <c r="F15" i="1"/>
  <c r="G15" i="1"/>
  <c r="H15" i="1"/>
  <c r="I15" i="1"/>
  <c r="J15" i="1"/>
  <c r="C15" i="1"/>
  <c r="D14" i="1"/>
  <c r="E14" i="1"/>
  <c r="F14" i="1"/>
  <c r="G14" i="1"/>
  <c r="H14" i="1"/>
  <c r="I14" i="1"/>
  <c r="J14" i="1"/>
  <c r="C14" i="1"/>
  <c r="F10" i="1"/>
  <c r="F9" i="1"/>
  <c r="F8" i="1"/>
  <c r="E10" i="1"/>
  <c r="E9" i="1"/>
  <c r="E8" i="1"/>
  <c r="D10" i="1"/>
  <c r="D9" i="1"/>
  <c r="D8" i="1"/>
  <c r="C10" i="1"/>
  <c r="C9" i="1"/>
  <c r="C8" i="1"/>
  <c r="F7" i="1"/>
  <c r="F6" i="1"/>
  <c r="F5" i="1"/>
  <c r="E7" i="1"/>
  <c r="E6" i="1"/>
  <c r="E5" i="1"/>
  <c r="D7" i="1"/>
  <c r="D6" i="1"/>
  <c r="D5" i="1"/>
  <c r="C7" i="1"/>
  <c r="C6" i="1"/>
  <c r="C5" i="1"/>
  <c r="F4" i="1"/>
  <c r="F3" i="1"/>
  <c r="F2" i="1"/>
  <c r="E4" i="1"/>
  <c r="E3" i="1"/>
  <c r="E2" i="1"/>
  <c r="D4" i="1"/>
  <c r="D3" i="1"/>
  <c r="C4" i="1"/>
  <c r="C3" i="1"/>
  <c r="D2" i="1"/>
  <c r="C2" i="1"/>
</calcChain>
</file>

<file path=xl/sharedStrings.xml><?xml version="1.0" encoding="utf-8"?>
<sst xmlns="http://schemas.openxmlformats.org/spreadsheetml/2006/main" count="438" uniqueCount="48">
  <si>
    <t>eau_KDR</t>
  </si>
  <si>
    <t>rose_KDR</t>
  </si>
  <si>
    <t>orange_KDR</t>
  </si>
  <si>
    <t>rouge_KDR</t>
  </si>
  <si>
    <t>eau_KIS</t>
  </si>
  <si>
    <t>rose_KIS</t>
  </si>
  <si>
    <t>orange_KIS</t>
  </si>
  <si>
    <t>rouge_KIS</t>
  </si>
  <si>
    <t>J1</t>
  </si>
  <si>
    <t>jour</t>
  </si>
  <si>
    <t>bocal</t>
  </si>
  <si>
    <t>J2</t>
  </si>
  <si>
    <t>J3</t>
  </si>
  <si>
    <t>Étiquettes de colonnes</t>
  </si>
  <si>
    <t>(vide)</t>
  </si>
  <si>
    <t>Total général</t>
  </si>
  <si>
    <t>Étiquettes de lignes</t>
  </si>
  <si>
    <t>Somme de eau_KDR</t>
  </si>
  <si>
    <t>Somme de rose_KDR</t>
  </si>
  <si>
    <t>Somme de orange_KDR</t>
  </si>
  <si>
    <t>Somme de rouge_KDR</t>
  </si>
  <si>
    <t>total attendu</t>
  </si>
  <si>
    <t>KDR</t>
  </si>
  <si>
    <t>KIS</t>
  </si>
  <si>
    <t>eau</t>
  </si>
  <si>
    <t>rose</t>
  </si>
  <si>
    <t>orange</t>
  </si>
  <si>
    <t>rouge</t>
  </si>
  <si>
    <t>plaque</t>
  </si>
  <si>
    <t>individus</t>
  </si>
  <si>
    <t>nom</t>
  </si>
  <si>
    <t>souche</t>
  </si>
  <si>
    <t>Conc</t>
  </si>
  <si>
    <t>produit</t>
  </si>
  <si>
    <t>permethrine</t>
  </si>
  <si>
    <t>n</t>
  </si>
  <si>
    <t>Moyenne de individus</t>
  </si>
  <si>
    <t>Total Moyenne de individus</t>
  </si>
  <si>
    <t>Total Écartype de individus</t>
  </si>
  <si>
    <t>Écartype de individus</t>
  </si>
  <si>
    <t>KDR_eau</t>
  </si>
  <si>
    <t>KIS_eau</t>
  </si>
  <si>
    <t>KDR_rose</t>
  </si>
  <si>
    <t>KIS_rose</t>
  </si>
  <si>
    <t>KDR_orange</t>
  </si>
  <si>
    <t>KIS_orange</t>
  </si>
  <si>
    <t>KDR_rouge</t>
  </si>
  <si>
    <t>KIS_rouge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</si>
</sst>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pivotButton="1"/>
    <xf numFmtId="0" fontId="1" fillId="2" borderId="1" xfId="0" applyFont="1" applyFill="1" applyBorder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2" xfId="0" applyBorder="1"/>
    <xf numFmtId="0" fontId="0" fillId="0" borderId="0" xfId="0" applyAlignment="1">
      <alignment horizontal="left" indent="1"/>
    </xf>
    <xf numFmtId="0" fontId="1" fillId="0" borderId="1" xfId="0" applyFont="1" applyBorder="1" applyAlignment="1">
      <alignment horizontal="left"/>
    </xf>
    <xf numFmtId="0" fontId="1" fillId="0" borderId="1" xfId="0" applyNumberFormat="1" applyFont="1" applyBorder="1"/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Feuil1!$B$20</c:f>
              <c:strCache>
                <c:ptCount val="1"/>
                <c:pt idx="0">
                  <c:v>J1</c:v>
                </c:pt>
              </c:strCache>
            </c:strRef>
          </c:tx>
          <c:spPr>
            <a:solidFill>
              <a:schemeClr val="accent6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Feuil1!$C$18:$J$19</c15:sqref>
                  </c15:fullRef>
                </c:ext>
              </c:extLst>
              <c:f>Feuil1!$C$18:$J$19</c:f>
              <c:multiLvlStrCache>
                <c:ptCount val="4"/>
                <c:lvl>
                  <c:pt idx="0">
                    <c:v>eau</c:v>
                  </c:pt>
                  <c:pt idx="1">
                    <c:v>rose</c:v>
                  </c:pt>
                  <c:pt idx="2">
                    <c:v>orange</c:v>
                  </c:pt>
                  <c:pt idx="3">
                    <c:v>rouge</c:v>
                  </c:pt>
                </c:lvl>
                <c:lvl>
                  <c:pt idx="0">
                    <c:v>KDR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Feuil1!$C$20:$J$20</c15:sqref>
                  </c15:fullRef>
                </c:ext>
              </c:extLst>
              <c:f>Feuil1!$C$20:$F$20</c:f>
              <c:numCache>
                <c:formatCode>General</c:formatCode>
                <c:ptCount val="4"/>
                <c:pt idx="0">
                  <c:v>0.71666666666666667</c:v>
                </c:pt>
                <c:pt idx="1">
                  <c:v>0.81666666666666665</c:v>
                </c:pt>
                <c:pt idx="2">
                  <c:v>0.81666666666666665</c:v>
                </c:pt>
                <c:pt idx="3">
                  <c:v>0.73333333333333328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7D-4EC9-B21B-60F3650CC5AB}"/>
            </c:ext>
          </c:extLst>
        </c:ser>
        <c:ser>
          <c:idx val="1"/>
          <c:order val="1"/>
          <c:tx>
            <c:strRef>
              <c:f>Feuil1!$B$21</c:f>
              <c:strCache>
                <c:ptCount val="1"/>
                <c:pt idx="0">
                  <c:v>J2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Feuil1!$C$18:$J$19</c15:sqref>
                  </c15:fullRef>
                </c:ext>
              </c:extLst>
              <c:f>Feuil1!$C$18:$J$19</c:f>
              <c:multiLvlStrCache>
                <c:ptCount val="4"/>
                <c:lvl>
                  <c:pt idx="0">
                    <c:v>eau</c:v>
                  </c:pt>
                  <c:pt idx="1">
                    <c:v>rose</c:v>
                  </c:pt>
                  <c:pt idx="2">
                    <c:v>orange</c:v>
                  </c:pt>
                  <c:pt idx="3">
                    <c:v>rouge</c:v>
                  </c:pt>
                </c:lvl>
                <c:lvl>
                  <c:pt idx="0">
                    <c:v>KDR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Feuil1!$C$21:$J$21</c15:sqref>
                  </c15:fullRef>
                </c:ext>
              </c:extLst>
              <c:f>Feuil1!$C$21:$F$21</c:f>
              <c:numCache>
                <c:formatCode>General</c:formatCode>
                <c:ptCount val="4"/>
                <c:pt idx="0">
                  <c:v>0.81666666666666665</c:v>
                </c:pt>
                <c:pt idx="1">
                  <c:v>0.83333333333333337</c:v>
                </c:pt>
                <c:pt idx="2">
                  <c:v>0.83333333333333337</c:v>
                </c:pt>
                <c:pt idx="3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7D-4EC9-B21B-60F3650CC5AB}"/>
            </c:ext>
          </c:extLst>
        </c:ser>
        <c:ser>
          <c:idx val="2"/>
          <c:order val="2"/>
          <c:tx>
            <c:strRef>
              <c:f>Feuil1!$B$22</c:f>
              <c:strCache>
                <c:ptCount val="1"/>
                <c:pt idx="0">
                  <c:v>J3</c:v>
                </c:pt>
              </c:strCache>
            </c:strRef>
          </c:tx>
          <c:spPr>
            <a:solidFill>
              <a:schemeClr val="accent6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Feuil1!$C$18:$J$19</c15:sqref>
                  </c15:fullRef>
                </c:ext>
              </c:extLst>
              <c:f>Feuil1!$C$18:$J$19</c:f>
              <c:multiLvlStrCache>
                <c:ptCount val="4"/>
                <c:lvl>
                  <c:pt idx="0">
                    <c:v>eau</c:v>
                  </c:pt>
                  <c:pt idx="1">
                    <c:v>rose</c:v>
                  </c:pt>
                  <c:pt idx="2">
                    <c:v>orange</c:v>
                  </c:pt>
                  <c:pt idx="3">
                    <c:v>rouge</c:v>
                  </c:pt>
                </c:lvl>
                <c:lvl>
                  <c:pt idx="0">
                    <c:v>KDR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Feuil1!$C$22:$J$22</c15:sqref>
                  </c15:fullRef>
                </c:ext>
              </c:extLst>
              <c:f>Feuil1!$C$22:$F$22</c:f>
              <c:numCache>
                <c:formatCode>General</c:formatCode>
                <c:ptCount val="4"/>
                <c:pt idx="0">
                  <c:v>0.78333333333333333</c:v>
                </c:pt>
                <c:pt idx="1">
                  <c:v>0.85</c:v>
                </c:pt>
                <c:pt idx="2">
                  <c:v>0.83333333333333337</c:v>
                </c:pt>
                <c:pt idx="3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7D-4EC9-B21B-60F3650CC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3850448"/>
        <c:axId val="483845528"/>
      </c:barChart>
      <c:catAx>
        <c:axId val="48385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3845528"/>
        <c:crosses val="autoZero"/>
        <c:auto val="1"/>
        <c:lblAlgn val="ctr"/>
        <c:lblOffset val="100"/>
        <c:noMultiLvlLbl val="0"/>
      </c:catAx>
      <c:valAx>
        <c:axId val="4838455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800">
                    <a:effectLst/>
                  </a:rPr>
                  <a:t>Hatching rate</a:t>
                </a:r>
                <a:endParaRPr lang="fr-FR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385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Feuil1!$B$20</c:f>
              <c:strCache>
                <c:ptCount val="1"/>
                <c:pt idx="0">
                  <c:v>J1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Feuil1!$C$18:$J$19</c15:sqref>
                  </c15:fullRef>
                </c:ext>
              </c:extLst>
              <c:f>Feuil1!$G$18:$J$19</c:f>
              <c:multiLvlStrCache>
                <c:ptCount val="4"/>
                <c:lvl>
                  <c:pt idx="0">
                    <c:v>eau</c:v>
                  </c:pt>
                  <c:pt idx="1">
                    <c:v>rose</c:v>
                  </c:pt>
                  <c:pt idx="2">
                    <c:v>orange</c:v>
                  </c:pt>
                  <c:pt idx="3">
                    <c:v>rouge</c:v>
                  </c:pt>
                </c:lvl>
                <c:lvl>
                  <c:pt idx="0">
                    <c:v>KIS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Feuil1!$C$20:$J$20</c15:sqref>
                  </c15:fullRef>
                </c:ext>
              </c:extLst>
              <c:f>Feuil1!$G$20:$J$20</c:f>
              <c:numCache>
                <c:formatCode>General</c:formatCode>
                <c:ptCount val="4"/>
                <c:pt idx="0">
                  <c:v>0.66666666666666663</c:v>
                </c:pt>
                <c:pt idx="1">
                  <c:v>0.7</c:v>
                </c:pt>
                <c:pt idx="2">
                  <c:v>0.76666666666666672</c:v>
                </c:pt>
                <c:pt idx="3">
                  <c:v>0.78125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73-4BF8-BADF-5730A263156F}"/>
            </c:ext>
          </c:extLst>
        </c:ser>
        <c:ser>
          <c:idx val="1"/>
          <c:order val="1"/>
          <c:tx>
            <c:strRef>
              <c:f>Feuil1!$B$21</c:f>
              <c:strCache>
                <c:ptCount val="1"/>
                <c:pt idx="0">
                  <c:v>J2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Feuil1!$C$18:$J$19</c15:sqref>
                  </c15:fullRef>
                </c:ext>
              </c:extLst>
              <c:f>Feuil1!$G$18:$J$19</c:f>
              <c:multiLvlStrCache>
                <c:ptCount val="4"/>
                <c:lvl>
                  <c:pt idx="0">
                    <c:v>eau</c:v>
                  </c:pt>
                  <c:pt idx="1">
                    <c:v>rose</c:v>
                  </c:pt>
                  <c:pt idx="2">
                    <c:v>orange</c:v>
                  </c:pt>
                  <c:pt idx="3">
                    <c:v>rouge</c:v>
                  </c:pt>
                </c:lvl>
                <c:lvl>
                  <c:pt idx="0">
                    <c:v>KIS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Feuil1!$C$21:$J$21</c15:sqref>
                  </c15:fullRef>
                </c:ext>
              </c:extLst>
              <c:f>Feuil1!$G$21:$J$21</c:f>
              <c:numCache>
                <c:formatCode>General</c:formatCode>
                <c:ptCount val="4"/>
                <c:pt idx="0">
                  <c:v>0.76666666666666672</c:v>
                </c:pt>
                <c:pt idx="1">
                  <c:v>0.8</c:v>
                </c:pt>
                <c:pt idx="2">
                  <c:v>0.8666666666666667</c:v>
                </c:pt>
                <c:pt idx="3">
                  <c:v>0.90625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73-4BF8-BADF-5730A263156F}"/>
            </c:ext>
          </c:extLst>
        </c:ser>
        <c:ser>
          <c:idx val="2"/>
          <c:order val="2"/>
          <c:tx>
            <c:strRef>
              <c:f>Feuil1!$B$22</c:f>
              <c:strCache>
                <c:ptCount val="1"/>
                <c:pt idx="0">
                  <c:v>J3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Feuil1!$C$18:$J$19</c15:sqref>
                  </c15:fullRef>
                </c:ext>
              </c:extLst>
              <c:f>Feuil1!$G$18:$J$19</c:f>
              <c:multiLvlStrCache>
                <c:ptCount val="4"/>
                <c:lvl>
                  <c:pt idx="0">
                    <c:v>eau</c:v>
                  </c:pt>
                  <c:pt idx="1">
                    <c:v>rose</c:v>
                  </c:pt>
                  <c:pt idx="2">
                    <c:v>orange</c:v>
                  </c:pt>
                  <c:pt idx="3">
                    <c:v>rouge</c:v>
                  </c:pt>
                </c:lvl>
                <c:lvl>
                  <c:pt idx="0">
                    <c:v>KIS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Feuil1!$C$22:$J$22</c15:sqref>
                  </c15:fullRef>
                </c:ext>
              </c:extLst>
              <c:f>Feuil1!$G$22:$J$22</c:f>
              <c:numCache>
                <c:formatCode>General</c:formatCode>
                <c:ptCount val="4"/>
                <c:pt idx="0">
                  <c:v>0.76666666666666672</c:v>
                </c:pt>
                <c:pt idx="1">
                  <c:v>0.8</c:v>
                </c:pt>
                <c:pt idx="2">
                  <c:v>0.8</c:v>
                </c:pt>
                <c:pt idx="3">
                  <c:v>0.8125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73-4BF8-BADF-5730A2631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3850448"/>
        <c:axId val="483845528"/>
      </c:barChart>
      <c:catAx>
        <c:axId val="48385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3845528"/>
        <c:crosses val="autoZero"/>
        <c:auto val="1"/>
        <c:lblAlgn val="ctr"/>
        <c:lblOffset val="100"/>
        <c:noMultiLvlLbl val="0"/>
      </c:catAx>
      <c:valAx>
        <c:axId val="483845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385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Feuil5!$C$32</c:f>
              <c:strCache>
                <c:ptCount val="1"/>
                <c:pt idx="0">
                  <c:v>J1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01B-45A0-AE6E-74D39C82419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01B-45A0-AE6E-74D39C82419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01B-45A0-AE6E-74D39C82419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01B-45A0-AE6E-74D39C82419E}"/>
              </c:ext>
            </c:extLst>
          </c:dPt>
          <c:errBars>
            <c:errBarType val="both"/>
            <c:errValType val="cust"/>
            <c:noEndCap val="0"/>
            <c:plus>
              <c:numRef>
                <c:f>(Feuil5!$C$20:$C$23,Feuil5!$C$25:$C$28)</c:f>
                <c:numCache>
                  <c:formatCode>General</c:formatCode>
                  <c:ptCount val="8"/>
                  <c:pt idx="0">
                    <c:v>0.98319208025017313</c:v>
                  </c:pt>
                  <c:pt idx="1">
                    <c:v>1.4719601443879733</c:v>
                  </c:pt>
                  <c:pt idx="2">
                    <c:v>1.6020819787597209</c:v>
                  </c:pt>
                  <c:pt idx="3">
                    <c:v>1.8618986725025244</c:v>
                  </c:pt>
                  <c:pt idx="4">
                    <c:v>2.5166114784235822</c:v>
                  </c:pt>
                  <c:pt idx="5">
                    <c:v>1</c:v>
                  </c:pt>
                  <c:pt idx="6">
                    <c:v>0.57735026918962162</c:v>
                  </c:pt>
                  <c:pt idx="7">
                    <c:v>3.5118845842842457</c:v>
                  </c:pt>
                </c:numCache>
              </c:numRef>
            </c:plus>
            <c:minus>
              <c:numRef>
                <c:f>(Feuil5!$C$20:$C$23,Feuil5!$C$25:$C$28)</c:f>
                <c:numCache>
                  <c:formatCode>General</c:formatCode>
                  <c:ptCount val="8"/>
                  <c:pt idx="0">
                    <c:v>0.98319208025017313</c:v>
                  </c:pt>
                  <c:pt idx="1">
                    <c:v>1.4719601443879733</c:v>
                  </c:pt>
                  <c:pt idx="2">
                    <c:v>1.6020819787597209</c:v>
                  </c:pt>
                  <c:pt idx="3">
                    <c:v>1.8618986725025244</c:v>
                  </c:pt>
                  <c:pt idx="4">
                    <c:v>2.5166114784235822</c:v>
                  </c:pt>
                  <c:pt idx="5">
                    <c:v>1</c:v>
                  </c:pt>
                  <c:pt idx="6">
                    <c:v>0.57735026918962162</c:v>
                  </c:pt>
                  <c:pt idx="7">
                    <c:v>3.5118845842842457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Feuil5!$A$33:$B$40</c:f>
              <c:multiLvlStrCache>
                <c:ptCount val="8"/>
                <c:lvl>
                  <c:pt idx="0">
                    <c:v>0</c:v>
                  </c:pt>
                  <c:pt idx="1">
                    <c:v>0,0002</c:v>
                  </c:pt>
                  <c:pt idx="2">
                    <c:v>0,002</c:v>
                  </c:pt>
                  <c:pt idx="3">
                    <c:v>0,02</c:v>
                  </c:pt>
                  <c:pt idx="4">
                    <c:v>0</c:v>
                  </c:pt>
                  <c:pt idx="5">
                    <c:v>0,0002</c:v>
                  </c:pt>
                  <c:pt idx="6">
                    <c:v>0,002</c:v>
                  </c:pt>
                  <c:pt idx="7">
                    <c:v>0,02</c:v>
                  </c:pt>
                </c:lvl>
                <c:lvl>
                  <c:pt idx="0">
                    <c:v>KDR</c:v>
                  </c:pt>
                  <c:pt idx="4">
                    <c:v>KIS</c:v>
                  </c:pt>
                </c:lvl>
              </c:multiLvlStrCache>
            </c:multiLvlStrRef>
          </c:cat>
          <c:val>
            <c:numRef>
              <c:f>Feuil5!$C$33:$C$40</c:f>
              <c:numCache>
                <c:formatCode>General</c:formatCode>
                <c:ptCount val="8"/>
                <c:pt idx="0">
                  <c:v>7.166666666666667</c:v>
                </c:pt>
                <c:pt idx="1">
                  <c:v>8.1666666666666661</c:v>
                </c:pt>
                <c:pt idx="2">
                  <c:v>8.1666666666666661</c:v>
                </c:pt>
                <c:pt idx="3">
                  <c:v>7.333333333333333</c:v>
                </c:pt>
                <c:pt idx="4">
                  <c:v>6.666666666666667</c:v>
                </c:pt>
                <c:pt idx="5">
                  <c:v>7</c:v>
                </c:pt>
                <c:pt idx="6">
                  <c:v>7.666666666666667</c:v>
                </c:pt>
                <c:pt idx="7">
                  <c:v>8.3333333333333339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1B-45A0-AE6E-74D39C82419E}"/>
            </c:ext>
          </c:extLst>
        </c:ser>
        <c:ser>
          <c:idx val="1"/>
          <c:order val="1"/>
          <c:tx>
            <c:strRef>
              <c:f>Feuil5!$D$32</c:f>
              <c:strCache>
                <c:ptCount val="1"/>
                <c:pt idx="0">
                  <c:v>J2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01B-45A0-AE6E-74D39C82419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01B-45A0-AE6E-74D39C82419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01B-45A0-AE6E-74D39C82419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01B-45A0-AE6E-74D39C82419E}"/>
              </c:ext>
            </c:extLst>
          </c:dPt>
          <c:errBars>
            <c:errBarType val="both"/>
            <c:errValType val="cust"/>
            <c:noEndCap val="0"/>
            <c:plus>
              <c:numRef>
                <c:f>(Feuil5!$E$20:$E$23,Feuil5!$E$25:$E$28)</c:f>
                <c:numCache>
                  <c:formatCode>General</c:formatCode>
                  <c:ptCount val="8"/>
                  <c:pt idx="0">
                    <c:v>0.75277265270907845</c:v>
                  </c:pt>
                  <c:pt idx="1">
                    <c:v>1.5055453054181609</c:v>
                  </c:pt>
                  <c:pt idx="2">
                    <c:v>1.366260102127945</c:v>
                  </c:pt>
                  <c:pt idx="3">
                    <c:v>1.3784048752090221</c:v>
                  </c:pt>
                  <c:pt idx="4">
                    <c:v>2.5166114784235822</c:v>
                  </c:pt>
                  <c:pt idx="5">
                    <c:v>1</c:v>
                  </c:pt>
                  <c:pt idx="6">
                    <c:v>0.57735026918962162</c:v>
                  </c:pt>
                  <c:pt idx="7">
                    <c:v>2.0816659994661348</c:v>
                  </c:pt>
                </c:numCache>
              </c:numRef>
            </c:plus>
            <c:minus>
              <c:numRef>
                <c:f>(Feuil5!$E$20:$E$23,Feuil5!$E$25:$E$28)</c:f>
                <c:numCache>
                  <c:formatCode>General</c:formatCode>
                  <c:ptCount val="8"/>
                  <c:pt idx="0">
                    <c:v>0.75277265270907845</c:v>
                  </c:pt>
                  <c:pt idx="1">
                    <c:v>1.5055453054181609</c:v>
                  </c:pt>
                  <c:pt idx="2">
                    <c:v>1.366260102127945</c:v>
                  </c:pt>
                  <c:pt idx="3">
                    <c:v>1.3784048752090221</c:v>
                  </c:pt>
                  <c:pt idx="4">
                    <c:v>2.5166114784235822</c:v>
                  </c:pt>
                  <c:pt idx="5">
                    <c:v>1</c:v>
                  </c:pt>
                  <c:pt idx="6">
                    <c:v>0.57735026918962162</c:v>
                  </c:pt>
                  <c:pt idx="7">
                    <c:v>2.0816659994661348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Feuil5!$A$33:$B$40</c:f>
              <c:multiLvlStrCache>
                <c:ptCount val="8"/>
                <c:lvl>
                  <c:pt idx="0">
                    <c:v>0</c:v>
                  </c:pt>
                  <c:pt idx="1">
                    <c:v>0,0002</c:v>
                  </c:pt>
                  <c:pt idx="2">
                    <c:v>0,002</c:v>
                  </c:pt>
                  <c:pt idx="3">
                    <c:v>0,02</c:v>
                  </c:pt>
                  <c:pt idx="4">
                    <c:v>0</c:v>
                  </c:pt>
                  <c:pt idx="5">
                    <c:v>0,0002</c:v>
                  </c:pt>
                  <c:pt idx="6">
                    <c:v>0,002</c:v>
                  </c:pt>
                  <c:pt idx="7">
                    <c:v>0,02</c:v>
                  </c:pt>
                </c:lvl>
                <c:lvl>
                  <c:pt idx="0">
                    <c:v>KDR</c:v>
                  </c:pt>
                  <c:pt idx="4">
                    <c:v>KIS</c:v>
                  </c:pt>
                </c:lvl>
              </c:multiLvlStrCache>
            </c:multiLvlStrRef>
          </c:cat>
          <c:val>
            <c:numRef>
              <c:f>Feuil5!$D$33:$D$40</c:f>
              <c:numCache>
                <c:formatCode>General</c:formatCode>
                <c:ptCount val="8"/>
                <c:pt idx="0">
                  <c:v>8.1666666666666661</c:v>
                </c:pt>
                <c:pt idx="1">
                  <c:v>8.3333333333333339</c:v>
                </c:pt>
                <c:pt idx="2">
                  <c:v>8.3333333333333339</c:v>
                </c:pt>
                <c:pt idx="3">
                  <c:v>8.5</c:v>
                </c:pt>
                <c:pt idx="4">
                  <c:v>7.666666666666667</c:v>
                </c:pt>
                <c:pt idx="5">
                  <c:v>8</c:v>
                </c:pt>
                <c:pt idx="6">
                  <c:v>8.6666666666666661</c:v>
                </c:pt>
                <c:pt idx="7">
                  <c:v>9.6666666666666661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1B-45A0-AE6E-74D39C82419E}"/>
            </c:ext>
          </c:extLst>
        </c:ser>
        <c:ser>
          <c:idx val="2"/>
          <c:order val="2"/>
          <c:tx>
            <c:strRef>
              <c:f>Feuil5!$E$32</c:f>
              <c:strCache>
                <c:ptCount val="1"/>
                <c:pt idx="0">
                  <c:v>J3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01B-45A0-AE6E-74D39C82419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01B-45A0-AE6E-74D39C82419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A01B-45A0-AE6E-74D39C82419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01B-45A0-AE6E-74D39C82419E}"/>
              </c:ext>
            </c:extLst>
          </c:dPt>
          <c:errBars>
            <c:errBarType val="both"/>
            <c:errValType val="cust"/>
            <c:noEndCap val="0"/>
            <c:plus>
              <c:numRef>
                <c:f>(Feuil5!$G$20:$G$23,Feuil5!$G$25:$G$28)</c:f>
                <c:numCache>
                  <c:formatCode>General</c:formatCode>
                  <c:ptCount val="8"/>
                  <c:pt idx="0">
                    <c:v>0.75277265270907845</c:v>
                  </c:pt>
                  <c:pt idx="1">
                    <c:v>1.2247448713915889</c:v>
                  </c:pt>
                  <c:pt idx="2">
                    <c:v>1.366260102127945</c:v>
                  </c:pt>
                  <c:pt idx="3">
                    <c:v>1.3784048752090221</c:v>
                  </c:pt>
                  <c:pt idx="4">
                    <c:v>2.5166114784235822</c:v>
                  </c:pt>
                  <c:pt idx="5">
                    <c:v>2</c:v>
                  </c:pt>
                  <c:pt idx="6">
                    <c:v>0</c:v>
                  </c:pt>
                  <c:pt idx="7">
                    <c:v>2.5166114784235822</c:v>
                  </c:pt>
                </c:numCache>
              </c:numRef>
            </c:plus>
            <c:minus>
              <c:numRef>
                <c:f>(Feuil5!$G$20:$G$23,Feuil5!$G$25:$G$28)</c:f>
                <c:numCache>
                  <c:formatCode>General</c:formatCode>
                  <c:ptCount val="8"/>
                  <c:pt idx="0">
                    <c:v>0.75277265270907845</c:v>
                  </c:pt>
                  <c:pt idx="1">
                    <c:v>1.2247448713915889</c:v>
                  </c:pt>
                  <c:pt idx="2">
                    <c:v>1.366260102127945</c:v>
                  </c:pt>
                  <c:pt idx="3">
                    <c:v>1.3784048752090221</c:v>
                  </c:pt>
                  <c:pt idx="4">
                    <c:v>2.5166114784235822</c:v>
                  </c:pt>
                  <c:pt idx="5">
                    <c:v>2</c:v>
                  </c:pt>
                  <c:pt idx="6">
                    <c:v>0</c:v>
                  </c:pt>
                  <c:pt idx="7">
                    <c:v>2.5166114784235822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Feuil5!$A$33:$B$40</c:f>
              <c:multiLvlStrCache>
                <c:ptCount val="8"/>
                <c:lvl>
                  <c:pt idx="0">
                    <c:v>0</c:v>
                  </c:pt>
                  <c:pt idx="1">
                    <c:v>0,0002</c:v>
                  </c:pt>
                  <c:pt idx="2">
                    <c:v>0,002</c:v>
                  </c:pt>
                  <c:pt idx="3">
                    <c:v>0,02</c:v>
                  </c:pt>
                  <c:pt idx="4">
                    <c:v>0</c:v>
                  </c:pt>
                  <c:pt idx="5">
                    <c:v>0,0002</c:v>
                  </c:pt>
                  <c:pt idx="6">
                    <c:v>0,002</c:v>
                  </c:pt>
                  <c:pt idx="7">
                    <c:v>0,02</c:v>
                  </c:pt>
                </c:lvl>
                <c:lvl>
                  <c:pt idx="0">
                    <c:v>KDR</c:v>
                  </c:pt>
                  <c:pt idx="4">
                    <c:v>KIS</c:v>
                  </c:pt>
                </c:lvl>
              </c:multiLvlStrCache>
            </c:multiLvlStrRef>
          </c:cat>
          <c:val>
            <c:numRef>
              <c:f>Feuil5!$E$33:$E$40</c:f>
              <c:numCache>
                <c:formatCode>General</c:formatCode>
                <c:ptCount val="8"/>
                <c:pt idx="0">
                  <c:v>7.833333333333333</c:v>
                </c:pt>
                <c:pt idx="1">
                  <c:v>8.5</c:v>
                </c:pt>
                <c:pt idx="2">
                  <c:v>8.3333333333333339</c:v>
                </c:pt>
                <c:pt idx="3">
                  <c:v>8.5</c:v>
                </c:pt>
                <c:pt idx="4">
                  <c:v>7.666666666666667</c:v>
                </c:pt>
                <c:pt idx="5">
                  <c:v>8</c:v>
                </c:pt>
                <c:pt idx="6">
                  <c:v>8</c:v>
                </c:pt>
                <c:pt idx="7">
                  <c:v>8.6666666666666661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1B-45A0-AE6E-74D39C824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8516400"/>
        <c:axId val="538515416"/>
      </c:barChart>
      <c:catAx>
        <c:axId val="53851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8515416"/>
        <c:crosses val="autoZero"/>
        <c:auto val="1"/>
        <c:lblAlgn val="ctr"/>
        <c:lblOffset val="100"/>
        <c:noMultiLvlLbl val="0"/>
      </c:catAx>
      <c:valAx>
        <c:axId val="538515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800" b="0" i="0" baseline="0">
                    <a:effectLst/>
                  </a:rPr>
                  <a:t>Hatching mean </a:t>
                </a:r>
                <a:r>
                  <a:rPr lang="fr-FR" sz="1800" b="0" i="0" u="none" strike="noStrike" baseline="0">
                    <a:effectLst/>
                  </a:rPr>
                  <a:t>±</a:t>
                </a:r>
                <a:r>
                  <a:rPr lang="fr-FR" sz="1000" b="0" i="0" u="none" strike="noStrike" baseline="0">
                    <a:effectLst/>
                  </a:rPr>
                  <a:t> </a:t>
                </a:r>
                <a:r>
                  <a:rPr lang="fr-FR" sz="1800" b="0" i="0" baseline="0">
                    <a:effectLst/>
                  </a:rPr>
                  <a:t>sd</a:t>
                </a:r>
                <a:endParaRPr lang="fr-FR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851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157180534693186"/>
          <c:y val="0.92605460001092554"/>
          <c:w val="0.10099558940308646"/>
          <c:h val="5.22651805433077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304799</xdr:colOff>
      <xdr:row>6</xdr:row>
      <xdr:rowOff>66675</xdr:rowOff>
    </xdr:from>
    <xdr:to>
      <xdr:col>18</xdr:col>
      <xdr:colOff>66674</xdr:colOff>
      <xdr:row>26</xdr:row>
      <xdr:rowOff>33337</xdr:rowOff>
    </xdr:to>
    <xdr:graphicFrame macro="">
      <xdr:nvGraphicFramePr>
        <xdr:cNvPr id="5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123825</xdr:colOff>
      <xdr:row>6</xdr:row>
      <xdr:rowOff>66675</xdr:rowOff>
    </xdr:from>
    <xdr:to>
      <xdr:col>25</xdr:col>
      <xdr:colOff>647700</xdr:colOff>
      <xdr:row>26</xdr:row>
      <xdr:rowOff>33337</xdr:rowOff>
    </xdr:to>
    <xdr:graphicFrame macro="">
      <xdr:nvGraphicFramePr>
        <xdr:cNvPr id="6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41</xdr:row>
      <xdr:rowOff>180975</xdr:rowOff>
    </xdr:from>
    <xdr:to>
      <xdr:col>7</xdr:col>
      <xdr:colOff>1638300</xdr:colOff>
      <xdr:row>63</xdr:row>
      <xdr:rowOff>90487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RD" refreshedDate="45057.734055092595" createdVersion="6" refreshedVersion="6" minRefreshableVersion="3" recordCount="10">
  <cacheSource type="worksheet">
    <worksheetSource ref="A1:J1048576" sheet="Feuil1"/>
  </cacheSource>
  <cacheFields count="10">
    <cacheField name="jour" numFmtId="0">
      <sharedItems containsBlank="1" count="4">
        <s v="J1"/>
        <s v="J2"/>
        <s v="J3"/>
        <m/>
      </sharedItems>
    </cacheField>
    <cacheField name="bocal" numFmtId="0">
      <sharedItems containsString="0" containsBlank="1" containsNumber="1" containsInteger="1" minValue="1" maxValue="3"/>
    </cacheField>
    <cacheField name="eau_KDR" numFmtId="0">
      <sharedItems containsString="0" containsBlank="1" containsNumber="1" containsInteger="1" minValue="13" maxValue="17" count="6">
        <n v="16"/>
        <n v="14"/>
        <n v="13"/>
        <n v="17"/>
        <n v="15"/>
        <m/>
      </sharedItems>
    </cacheField>
    <cacheField name="rose_KDR" numFmtId="0">
      <sharedItems containsString="0" containsBlank="1" containsNumber="1" containsInteger="1" minValue="15" maxValue="18" count="5">
        <n v="16"/>
        <n v="17"/>
        <n v="18"/>
        <n v="15"/>
        <m/>
      </sharedItems>
    </cacheField>
    <cacheField name="orange_KDR" numFmtId="0">
      <sharedItems containsString="0" containsBlank="1" containsNumber="1" containsInteger="1" minValue="15" maxValue="18" count="5">
        <n v="18"/>
        <n v="16"/>
        <n v="15"/>
        <n v="17"/>
        <m/>
      </sharedItems>
    </cacheField>
    <cacheField name="rouge_KDR" numFmtId="0">
      <sharedItems containsString="0" containsBlank="1" containsNumber="1" containsInteger="1" minValue="14" maxValue="18" count="4">
        <n v="15"/>
        <n v="14"/>
        <n v="18"/>
        <m/>
      </sharedItems>
    </cacheField>
    <cacheField name="eau_KIS" numFmtId="0">
      <sharedItems containsString="0" containsBlank="1" containsNumber="1" containsInteger="1" minValue="4" maxValue="10"/>
    </cacheField>
    <cacheField name="rose_KIS" numFmtId="0">
      <sharedItems containsString="0" containsBlank="1" containsNumber="1" containsInteger="1" minValue="6" maxValue="10"/>
    </cacheField>
    <cacheField name="orange_KIS" numFmtId="0">
      <sharedItems containsString="0" containsBlank="1" containsNumber="1" containsInteger="1" minValue="7" maxValue="9"/>
    </cacheField>
    <cacheField name="rouge_KIS" numFmtId="0">
      <sharedItems containsString="0" containsBlank="1" containsNumber="1" containsInteger="1" minValue="5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IRD" refreshedDate="45058.506363773151" createdVersion="6" refreshedVersion="6" minRefreshableVersion="3" recordCount="109">
  <cacheSource type="worksheet">
    <worksheetSource ref="A1:I1048576" sheet="Feuil4"/>
  </cacheSource>
  <cacheFields count="9">
    <cacheField name="n" numFmtId="0">
      <sharedItems containsString="0" containsBlank="1" containsNumber="1" containsInteger="1" minValue="1" maxValue="108"/>
    </cacheField>
    <cacheField name="souche" numFmtId="0">
      <sharedItems containsBlank="1" count="3">
        <s v="KDR"/>
        <s v="KIS"/>
        <m/>
      </sharedItems>
    </cacheField>
    <cacheField name="plaque" numFmtId="0">
      <sharedItems containsString="0" containsBlank="1" containsNumber="1" containsInteger="1" minValue="1" maxValue="3"/>
    </cacheField>
    <cacheField name="bocal" numFmtId="0">
      <sharedItems containsString="0" containsBlank="1" containsNumber="1" containsInteger="1" minValue="1" maxValue="3"/>
    </cacheField>
    <cacheField name="nom" numFmtId="0">
      <sharedItems containsNonDate="0" containsString="0" containsBlank="1"/>
    </cacheField>
    <cacheField name="produit" numFmtId="0">
      <sharedItems containsBlank="1"/>
    </cacheField>
    <cacheField name="Conc" numFmtId="0">
      <sharedItems containsString="0" containsBlank="1" containsNumber="1" minValue="0" maxValue="0.02" count="5">
        <n v="0"/>
        <n v="2.0000000000000001E-4"/>
        <n v="2E-3"/>
        <n v="0.02"/>
        <m/>
      </sharedItems>
    </cacheField>
    <cacheField name="individus" numFmtId="0">
      <sharedItems containsString="0" containsBlank="1" containsNumber="1" containsInteger="1" minValue="4" maxValue="12"/>
    </cacheField>
    <cacheField name="jour" numFmtId="0">
      <sharedItems containsString="0" containsBlank="1" containsNumber="1" containsInteger="1" minValue="1" maxValue="3" count="4">
        <n v="1"/>
        <n v="2"/>
        <n v="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n v="1"/>
    <x v="0"/>
    <x v="0"/>
    <x v="0"/>
    <x v="0"/>
    <n v="4"/>
    <n v="7"/>
    <n v="7"/>
    <n v="8"/>
  </r>
  <r>
    <x v="0"/>
    <n v="2"/>
    <x v="1"/>
    <x v="1"/>
    <x v="1"/>
    <x v="1"/>
    <n v="9"/>
    <n v="8"/>
    <n v="8"/>
    <n v="5"/>
  </r>
  <r>
    <x v="0"/>
    <n v="3"/>
    <x v="2"/>
    <x v="0"/>
    <x v="2"/>
    <x v="0"/>
    <n v="7"/>
    <n v="6"/>
    <n v="8"/>
    <n v="12"/>
  </r>
  <r>
    <x v="1"/>
    <n v="1"/>
    <x v="3"/>
    <x v="1"/>
    <x v="3"/>
    <x v="2"/>
    <n v="5"/>
    <n v="7"/>
    <n v="9"/>
    <n v="9"/>
  </r>
  <r>
    <x v="1"/>
    <n v="2"/>
    <x v="4"/>
    <x v="2"/>
    <x v="3"/>
    <x v="2"/>
    <n v="10"/>
    <n v="9"/>
    <n v="9"/>
    <n v="8"/>
  </r>
  <r>
    <x v="1"/>
    <n v="3"/>
    <x v="3"/>
    <x v="3"/>
    <x v="1"/>
    <x v="0"/>
    <n v="8"/>
    <n v="8"/>
    <n v="8"/>
    <n v="12"/>
  </r>
  <r>
    <x v="2"/>
    <n v="1"/>
    <x v="0"/>
    <x v="1"/>
    <x v="3"/>
    <x v="2"/>
    <n v="5"/>
    <n v="6"/>
    <n v="8"/>
    <n v="9"/>
  </r>
  <r>
    <x v="2"/>
    <n v="2"/>
    <x v="4"/>
    <x v="2"/>
    <x v="3"/>
    <x v="2"/>
    <n v="10"/>
    <n v="10"/>
    <n v="8"/>
    <n v="6"/>
  </r>
  <r>
    <x v="2"/>
    <n v="3"/>
    <x v="0"/>
    <x v="0"/>
    <x v="1"/>
    <x v="0"/>
    <n v="8"/>
    <n v="8"/>
    <n v="8"/>
    <n v="11"/>
  </r>
  <r>
    <x v="3"/>
    <m/>
    <x v="5"/>
    <x v="4"/>
    <x v="4"/>
    <x v="3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9">
  <r>
    <n v="1"/>
    <x v="0"/>
    <n v="1"/>
    <n v="1"/>
    <m/>
    <s v="eau"/>
    <x v="0"/>
    <n v="7"/>
    <x v="0"/>
  </r>
  <r>
    <n v="2"/>
    <x v="0"/>
    <n v="1"/>
    <n v="1"/>
    <m/>
    <s v="eau"/>
    <x v="0"/>
    <n v="8"/>
    <x v="1"/>
  </r>
  <r>
    <n v="3"/>
    <x v="0"/>
    <n v="1"/>
    <n v="1"/>
    <m/>
    <s v="eau"/>
    <x v="0"/>
    <n v="7"/>
    <x v="2"/>
  </r>
  <r>
    <n v="4"/>
    <x v="0"/>
    <n v="1"/>
    <n v="2"/>
    <m/>
    <s v="eau"/>
    <x v="0"/>
    <n v="7"/>
    <x v="0"/>
  </r>
  <r>
    <n v="5"/>
    <x v="0"/>
    <n v="1"/>
    <n v="2"/>
    <m/>
    <s v="eau"/>
    <x v="0"/>
    <n v="7"/>
    <x v="1"/>
  </r>
  <r>
    <n v="6"/>
    <x v="0"/>
    <n v="1"/>
    <n v="2"/>
    <m/>
    <s v="eau"/>
    <x v="0"/>
    <n v="7"/>
    <x v="2"/>
  </r>
  <r>
    <n v="7"/>
    <x v="0"/>
    <n v="1"/>
    <n v="3"/>
    <m/>
    <s v="eau"/>
    <x v="0"/>
    <n v="7"/>
    <x v="0"/>
  </r>
  <r>
    <n v="8"/>
    <x v="0"/>
    <n v="1"/>
    <n v="3"/>
    <m/>
    <s v="eau"/>
    <x v="0"/>
    <n v="9"/>
    <x v="1"/>
  </r>
  <r>
    <n v="9"/>
    <x v="0"/>
    <n v="1"/>
    <n v="3"/>
    <m/>
    <s v="eau"/>
    <x v="0"/>
    <n v="8"/>
    <x v="2"/>
  </r>
  <r>
    <n v="10"/>
    <x v="0"/>
    <n v="2"/>
    <n v="1"/>
    <m/>
    <s v="eau"/>
    <x v="0"/>
    <n v="9"/>
    <x v="0"/>
  </r>
  <r>
    <n v="11"/>
    <x v="0"/>
    <n v="2"/>
    <n v="1"/>
    <m/>
    <s v="eau"/>
    <x v="0"/>
    <n v="9"/>
    <x v="1"/>
  </r>
  <r>
    <n v="12"/>
    <x v="0"/>
    <n v="2"/>
    <n v="1"/>
    <m/>
    <s v="eau"/>
    <x v="0"/>
    <n v="9"/>
    <x v="2"/>
  </r>
  <r>
    <n v="13"/>
    <x v="0"/>
    <n v="2"/>
    <n v="2"/>
    <m/>
    <s v="eau"/>
    <x v="0"/>
    <n v="7"/>
    <x v="0"/>
  </r>
  <r>
    <n v="14"/>
    <x v="0"/>
    <n v="2"/>
    <n v="2"/>
    <m/>
    <s v="eau"/>
    <x v="0"/>
    <n v="8"/>
    <x v="1"/>
  </r>
  <r>
    <n v="15"/>
    <x v="0"/>
    <n v="2"/>
    <n v="2"/>
    <m/>
    <s v="eau"/>
    <x v="0"/>
    <n v="8"/>
    <x v="2"/>
  </r>
  <r>
    <n v="16"/>
    <x v="0"/>
    <n v="2"/>
    <n v="3"/>
    <m/>
    <s v="eau"/>
    <x v="0"/>
    <n v="6"/>
    <x v="0"/>
  </r>
  <r>
    <n v="17"/>
    <x v="0"/>
    <n v="2"/>
    <n v="3"/>
    <m/>
    <s v="eau"/>
    <x v="0"/>
    <n v="8"/>
    <x v="1"/>
  </r>
  <r>
    <n v="18"/>
    <x v="0"/>
    <n v="2"/>
    <n v="3"/>
    <m/>
    <s v="eau"/>
    <x v="0"/>
    <n v="8"/>
    <x v="2"/>
  </r>
  <r>
    <n v="19"/>
    <x v="1"/>
    <n v="3"/>
    <n v="1"/>
    <m/>
    <s v="eau"/>
    <x v="0"/>
    <n v="4"/>
    <x v="0"/>
  </r>
  <r>
    <n v="20"/>
    <x v="1"/>
    <n v="3"/>
    <n v="1"/>
    <m/>
    <s v="eau"/>
    <x v="0"/>
    <n v="5"/>
    <x v="1"/>
  </r>
  <r>
    <n v="21"/>
    <x v="1"/>
    <n v="3"/>
    <n v="1"/>
    <m/>
    <s v="eau"/>
    <x v="0"/>
    <n v="5"/>
    <x v="2"/>
  </r>
  <r>
    <n v="22"/>
    <x v="1"/>
    <n v="3"/>
    <n v="2"/>
    <m/>
    <s v="eau"/>
    <x v="0"/>
    <n v="9"/>
    <x v="0"/>
  </r>
  <r>
    <n v="23"/>
    <x v="1"/>
    <n v="3"/>
    <n v="2"/>
    <m/>
    <s v="eau"/>
    <x v="0"/>
    <n v="10"/>
    <x v="1"/>
  </r>
  <r>
    <n v="24"/>
    <x v="1"/>
    <n v="3"/>
    <n v="2"/>
    <m/>
    <s v="eau"/>
    <x v="0"/>
    <n v="10"/>
    <x v="2"/>
  </r>
  <r>
    <n v="25"/>
    <x v="1"/>
    <n v="3"/>
    <n v="3"/>
    <m/>
    <s v="eau"/>
    <x v="0"/>
    <n v="7"/>
    <x v="0"/>
  </r>
  <r>
    <n v="26"/>
    <x v="1"/>
    <n v="3"/>
    <n v="3"/>
    <m/>
    <s v="eau"/>
    <x v="0"/>
    <n v="8"/>
    <x v="1"/>
  </r>
  <r>
    <n v="27"/>
    <x v="1"/>
    <n v="3"/>
    <n v="3"/>
    <m/>
    <s v="eau"/>
    <x v="0"/>
    <n v="8"/>
    <x v="2"/>
  </r>
  <r>
    <n v="28"/>
    <x v="0"/>
    <n v="1"/>
    <n v="1"/>
    <m/>
    <s v="permethrine"/>
    <x v="1"/>
    <n v="10"/>
    <x v="0"/>
  </r>
  <r>
    <n v="29"/>
    <x v="0"/>
    <n v="1"/>
    <n v="1"/>
    <m/>
    <s v="permethrine"/>
    <x v="1"/>
    <n v="10"/>
    <x v="1"/>
  </r>
  <r>
    <n v="30"/>
    <x v="0"/>
    <n v="1"/>
    <n v="1"/>
    <m/>
    <s v="permethrine"/>
    <x v="1"/>
    <n v="10"/>
    <x v="2"/>
  </r>
  <r>
    <n v="31"/>
    <x v="0"/>
    <n v="1"/>
    <n v="2"/>
    <m/>
    <s v="permethrine"/>
    <x v="1"/>
    <n v="9"/>
    <x v="0"/>
  </r>
  <r>
    <n v="32"/>
    <x v="0"/>
    <n v="1"/>
    <n v="2"/>
    <m/>
    <s v="permethrine"/>
    <x v="1"/>
    <n v="9"/>
    <x v="1"/>
  </r>
  <r>
    <n v="33"/>
    <x v="0"/>
    <n v="1"/>
    <n v="2"/>
    <m/>
    <s v="permethrine"/>
    <x v="1"/>
    <n v="9"/>
    <x v="2"/>
  </r>
  <r>
    <n v="34"/>
    <x v="0"/>
    <n v="1"/>
    <n v="3"/>
    <m/>
    <s v="permethrine"/>
    <x v="1"/>
    <n v="9"/>
    <x v="0"/>
  </r>
  <r>
    <n v="35"/>
    <x v="0"/>
    <n v="1"/>
    <n v="3"/>
    <m/>
    <s v="permethrine"/>
    <x v="1"/>
    <n v="9"/>
    <x v="1"/>
  </r>
  <r>
    <n v="36"/>
    <x v="0"/>
    <n v="1"/>
    <n v="3"/>
    <m/>
    <s v="permethrine"/>
    <x v="1"/>
    <n v="9"/>
    <x v="2"/>
  </r>
  <r>
    <n v="37"/>
    <x v="0"/>
    <n v="2"/>
    <n v="1"/>
    <m/>
    <s v="permethrine"/>
    <x v="1"/>
    <n v="6"/>
    <x v="0"/>
  </r>
  <r>
    <n v="38"/>
    <x v="0"/>
    <n v="2"/>
    <n v="1"/>
    <m/>
    <s v="permethrine"/>
    <x v="1"/>
    <n v="7"/>
    <x v="1"/>
  </r>
  <r>
    <n v="39"/>
    <x v="0"/>
    <n v="2"/>
    <n v="1"/>
    <m/>
    <s v="permethrine"/>
    <x v="1"/>
    <n v="7"/>
    <x v="2"/>
  </r>
  <r>
    <n v="40"/>
    <x v="0"/>
    <n v="2"/>
    <n v="2"/>
    <m/>
    <s v="permethrine"/>
    <x v="1"/>
    <n v="8"/>
    <x v="0"/>
  </r>
  <r>
    <n v="41"/>
    <x v="0"/>
    <n v="2"/>
    <n v="2"/>
    <m/>
    <s v="permethrine"/>
    <x v="1"/>
    <n v="9"/>
    <x v="1"/>
  </r>
  <r>
    <n v="42"/>
    <x v="0"/>
    <n v="2"/>
    <n v="2"/>
    <m/>
    <s v="permethrine"/>
    <x v="1"/>
    <n v="9"/>
    <x v="2"/>
  </r>
  <r>
    <n v="43"/>
    <x v="0"/>
    <n v="2"/>
    <n v="3"/>
    <m/>
    <s v="permethrine"/>
    <x v="1"/>
    <n v="7"/>
    <x v="0"/>
  </r>
  <r>
    <n v="44"/>
    <x v="0"/>
    <n v="2"/>
    <n v="3"/>
    <m/>
    <s v="permethrine"/>
    <x v="1"/>
    <n v="6"/>
    <x v="1"/>
  </r>
  <r>
    <n v="45"/>
    <x v="0"/>
    <n v="2"/>
    <n v="3"/>
    <m/>
    <s v="permethrine"/>
    <x v="1"/>
    <n v="7"/>
    <x v="2"/>
  </r>
  <r>
    <n v="46"/>
    <x v="1"/>
    <n v="3"/>
    <n v="1"/>
    <m/>
    <s v="permethrine"/>
    <x v="1"/>
    <n v="7"/>
    <x v="0"/>
  </r>
  <r>
    <n v="47"/>
    <x v="1"/>
    <n v="3"/>
    <n v="1"/>
    <m/>
    <s v="permethrine"/>
    <x v="1"/>
    <n v="7"/>
    <x v="1"/>
  </r>
  <r>
    <n v="48"/>
    <x v="1"/>
    <n v="3"/>
    <n v="1"/>
    <m/>
    <s v="permethrine"/>
    <x v="1"/>
    <n v="6"/>
    <x v="2"/>
  </r>
  <r>
    <n v="49"/>
    <x v="1"/>
    <n v="3"/>
    <n v="2"/>
    <m/>
    <s v="permethrine"/>
    <x v="1"/>
    <n v="8"/>
    <x v="0"/>
  </r>
  <r>
    <n v="50"/>
    <x v="1"/>
    <n v="3"/>
    <n v="2"/>
    <m/>
    <s v="permethrine"/>
    <x v="1"/>
    <n v="9"/>
    <x v="1"/>
  </r>
  <r>
    <n v="51"/>
    <x v="1"/>
    <n v="3"/>
    <n v="2"/>
    <m/>
    <s v="permethrine"/>
    <x v="1"/>
    <n v="10"/>
    <x v="2"/>
  </r>
  <r>
    <n v="52"/>
    <x v="1"/>
    <n v="3"/>
    <n v="3"/>
    <m/>
    <s v="permethrine"/>
    <x v="1"/>
    <n v="6"/>
    <x v="0"/>
  </r>
  <r>
    <n v="53"/>
    <x v="1"/>
    <n v="3"/>
    <n v="3"/>
    <m/>
    <s v="permethrine"/>
    <x v="1"/>
    <n v="8"/>
    <x v="1"/>
  </r>
  <r>
    <n v="54"/>
    <x v="1"/>
    <n v="3"/>
    <n v="3"/>
    <m/>
    <s v="permethrine"/>
    <x v="1"/>
    <n v="8"/>
    <x v="2"/>
  </r>
  <r>
    <n v="55"/>
    <x v="0"/>
    <n v="1"/>
    <n v="1"/>
    <m/>
    <s v="permethrine"/>
    <x v="2"/>
    <n v="10"/>
    <x v="0"/>
  </r>
  <r>
    <n v="56"/>
    <x v="0"/>
    <n v="1"/>
    <n v="1"/>
    <m/>
    <s v="permethrine"/>
    <x v="2"/>
    <n v="10"/>
    <x v="1"/>
  </r>
  <r>
    <n v="57"/>
    <x v="0"/>
    <n v="1"/>
    <n v="1"/>
    <m/>
    <s v="permethrine"/>
    <x v="2"/>
    <n v="10"/>
    <x v="2"/>
  </r>
  <r>
    <n v="58"/>
    <x v="0"/>
    <n v="1"/>
    <n v="2"/>
    <m/>
    <s v="permethrine"/>
    <x v="2"/>
    <n v="10"/>
    <x v="0"/>
  </r>
  <r>
    <n v="59"/>
    <x v="0"/>
    <n v="1"/>
    <n v="2"/>
    <m/>
    <s v="permethrine"/>
    <x v="2"/>
    <n v="10"/>
    <x v="1"/>
  </r>
  <r>
    <n v="60"/>
    <x v="0"/>
    <n v="1"/>
    <n v="2"/>
    <m/>
    <s v="permethrine"/>
    <x v="2"/>
    <n v="10"/>
    <x v="2"/>
  </r>
  <r>
    <n v="61"/>
    <x v="0"/>
    <n v="1"/>
    <n v="3"/>
    <m/>
    <s v="permethrine"/>
    <x v="2"/>
    <n v="7"/>
    <x v="0"/>
  </r>
  <r>
    <n v="62"/>
    <x v="0"/>
    <n v="1"/>
    <n v="3"/>
    <m/>
    <s v="permethrine"/>
    <x v="2"/>
    <n v="8"/>
    <x v="1"/>
  </r>
  <r>
    <n v="63"/>
    <x v="0"/>
    <n v="1"/>
    <n v="3"/>
    <m/>
    <s v="permethrine"/>
    <x v="2"/>
    <n v="8"/>
    <x v="2"/>
  </r>
  <r>
    <n v="64"/>
    <x v="0"/>
    <n v="2"/>
    <n v="1"/>
    <m/>
    <s v="permethrine"/>
    <x v="2"/>
    <n v="8"/>
    <x v="0"/>
  </r>
  <r>
    <n v="65"/>
    <x v="0"/>
    <n v="2"/>
    <n v="1"/>
    <m/>
    <s v="permethrine"/>
    <x v="2"/>
    <n v="7"/>
    <x v="1"/>
  </r>
  <r>
    <n v="66"/>
    <x v="0"/>
    <n v="2"/>
    <n v="1"/>
    <m/>
    <s v="permethrine"/>
    <x v="2"/>
    <n v="7"/>
    <x v="2"/>
  </r>
  <r>
    <n v="67"/>
    <x v="0"/>
    <n v="2"/>
    <n v="2"/>
    <m/>
    <s v="permethrine"/>
    <x v="2"/>
    <n v="6"/>
    <x v="0"/>
  </r>
  <r>
    <n v="68"/>
    <x v="0"/>
    <n v="2"/>
    <n v="2"/>
    <m/>
    <s v="permethrine"/>
    <x v="2"/>
    <n v="7"/>
    <x v="1"/>
  </r>
  <r>
    <n v="69"/>
    <x v="0"/>
    <n v="2"/>
    <n v="2"/>
    <m/>
    <s v="permethrine"/>
    <x v="2"/>
    <n v="7"/>
    <x v="2"/>
  </r>
  <r>
    <n v="70"/>
    <x v="0"/>
    <n v="2"/>
    <n v="3"/>
    <m/>
    <s v="permethrine"/>
    <x v="2"/>
    <n v="8"/>
    <x v="0"/>
  </r>
  <r>
    <n v="71"/>
    <x v="0"/>
    <n v="2"/>
    <n v="3"/>
    <m/>
    <s v="permethrine"/>
    <x v="2"/>
    <n v="8"/>
    <x v="1"/>
  </r>
  <r>
    <n v="72"/>
    <x v="0"/>
    <n v="2"/>
    <n v="3"/>
    <m/>
    <s v="permethrine"/>
    <x v="2"/>
    <n v="8"/>
    <x v="2"/>
  </r>
  <r>
    <n v="73"/>
    <x v="1"/>
    <n v="3"/>
    <n v="1"/>
    <m/>
    <s v="permethrine"/>
    <x v="2"/>
    <n v="7"/>
    <x v="0"/>
  </r>
  <r>
    <n v="74"/>
    <x v="1"/>
    <n v="3"/>
    <n v="1"/>
    <m/>
    <s v="permethrine"/>
    <x v="2"/>
    <n v="9"/>
    <x v="1"/>
  </r>
  <r>
    <n v="75"/>
    <x v="1"/>
    <n v="3"/>
    <n v="1"/>
    <m/>
    <s v="permethrine"/>
    <x v="2"/>
    <n v="8"/>
    <x v="2"/>
  </r>
  <r>
    <n v="76"/>
    <x v="1"/>
    <n v="3"/>
    <n v="2"/>
    <m/>
    <s v="permethrine"/>
    <x v="2"/>
    <n v="8"/>
    <x v="0"/>
  </r>
  <r>
    <n v="77"/>
    <x v="1"/>
    <n v="3"/>
    <n v="2"/>
    <m/>
    <s v="permethrine"/>
    <x v="2"/>
    <n v="9"/>
    <x v="1"/>
  </r>
  <r>
    <n v="78"/>
    <x v="1"/>
    <n v="3"/>
    <n v="2"/>
    <m/>
    <s v="permethrine"/>
    <x v="2"/>
    <n v="8"/>
    <x v="2"/>
  </r>
  <r>
    <n v="79"/>
    <x v="1"/>
    <n v="3"/>
    <n v="3"/>
    <m/>
    <s v="permethrine"/>
    <x v="2"/>
    <n v="8"/>
    <x v="0"/>
  </r>
  <r>
    <n v="80"/>
    <x v="1"/>
    <n v="3"/>
    <n v="3"/>
    <m/>
    <s v="permethrine"/>
    <x v="2"/>
    <n v="8"/>
    <x v="1"/>
  </r>
  <r>
    <n v="81"/>
    <x v="1"/>
    <n v="3"/>
    <n v="3"/>
    <m/>
    <s v="permethrine"/>
    <x v="2"/>
    <n v="8"/>
    <x v="2"/>
  </r>
  <r>
    <n v="82"/>
    <x v="0"/>
    <n v="1"/>
    <n v="1"/>
    <m/>
    <s v="permethrine"/>
    <x v="3"/>
    <n v="5"/>
    <x v="0"/>
  </r>
  <r>
    <n v="83"/>
    <x v="0"/>
    <n v="1"/>
    <n v="1"/>
    <m/>
    <s v="permethrine"/>
    <x v="3"/>
    <n v="8"/>
    <x v="1"/>
  </r>
  <r>
    <n v="84"/>
    <x v="0"/>
    <n v="1"/>
    <n v="1"/>
    <m/>
    <s v="permethrine"/>
    <x v="3"/>
    <n v="8"/>
    <x v="2"/>
  </r>
  <r>
    <n v="85"/>
    <x v="0"/>
    <n v="1"/>
    <n v="2"/>
    <m/>
    <s v="permethrine"/>
    <x v="3"/>
    <n v="7"/>
    <x v="0"/>
  </r>
  <r>
    <n v="86"/>
    <x v="0"/>
    <n v="1"/>
    <n v="2"/>
    <m/>
    <s v="permethrine"/>
    <x v="3"/>
    <n v="9"/>
    <x v="1"/>
  </r>
  <r>
    <n v="87"/>
    <x v="0"/>
    <n v="1"/>
    <n v="2"/>
    <m/>
    <s v="permethrine"/>
    <x v="3"/>
    <n v="9"/>
    <x v="2"/>
  </r>
  <r>
    <n v="88"/>
    <x v="0"/>
    <n v="1"/>
    <n v="3"/>
    <m/>
    <s v="permethrine"/>
    <x v="3"/>
    <n v="9"/>
    <x v="0"/>
  </r>
  <r>
    <n v="89"/>
    <x v="0"/>
    <n v="1"/>
    <n v="3"/>
    <m/>
    <s v="permethrine"/>
    <x v="3"/>
    <n v="9"/>
    <x v="1"/>
  </r>
  <r>
    <n v="90"/>
    <x v="0"/>
    <n v="1"/>
    <n v="3"/>
    <m/>
    <s v="permethrine"/>
    <x v="3"/>
    <n v="9"/>
    <x v="2"/>
  </r>
  <r>
    <n v="91"/>
    <x v="0"/>
    <n v="2"/>
    <n v="1"/>
    <m/>
    <s v="permethrine"/>
    <x v="3"/>
    <n v="10"/>
    <x v="0"/>
  </r>
  <r>
    <n v="92"/>
    <x v="0"/>
    <n v="2"/>
    <n v="1"/>
    <m/>
    <s v="permethrine"/>
    <x v="3"/>
    <n v="10"/>
    <x v="1"/>
  </r>
  <r>
    <n v="93"/>
    <x v="0"/>
    <n v="2"/>
    <n v="1"/>
    <m/>
    <s v="permethrine"/>
    <x v="3"/>
    <n v="10"/>
    <x v="2"/>
  </r>
  <r>
    <n v="94"/>
    <x v="0"/>
    <n v="2"/>
    <n v="2"/>
    <m/>
    <s v="permethrine"/>
    <x v="3"/>
    <n v="7"/>
    <x v="0"/>
  </r>
  <r>
    <n v="95"/>
    <x v="0"/>
    <n v="2"/>
    <n v="2"/>
    <m/>
    <s v="permethrine"/>
    <x v="3"/>
    <n v="9"/>
    <x v="1"/>
  </r>
  <r>
    <n v="96"/>
    <x v="0"/>
    <n v="2"/>
    <n v="2"/>
    <m/>
    <s v="permethrine"/>
    <x v="3"/>
    <n v="9"/>
    <x v="2"/>
  </r>
  <r>
    <n v="97"/>
    <x v="0"/>
    <n v="2"/>
    <n v="3"/>
    <m/>
    <s v="permethrine"/>
    <x v="3"/>
    <n v="6"/>
    <x v="0"/>
  </r>
  <r>
    <n v="98"/>
    <x v="0"/>
    <n v="2"/>
    <n v="3"/>
    <m/>
    <s v="permethrine"/>
    <x v="3"/>
    <n v="6"/>
    <x v="1"/>
  </r>
  <r>
    <n v="99"/>
    <x v="0"/>
    <n v="2"/>
    <n v="3"/>
    <m/>
    <s v="permethrine"/>
    <x v="3"/>
    <n v="6"/>
    <x v="2"/>
  </r>
  <r>
    <n v="100"/>
    <x v="1"/>
    <n v="3"/>
    <n v="1"/>
    <m/>
    <s v="permethrine"/>
    <x v="3"/>
    <n v="8"/>
    <x v="0"/>
  </r>
  <r>
    <n v="101"/>
    <x v="1"/>
    <n v="3"/>
    <n v="1"/>
    <m/>
    <s v="permethrine"/>
    <x v="3"/>
    <n v="9"/>
    <x v="1"/>
  </r>
  <r>
    <n v="102"/>
    <x v="1"/>
    <n v="3"/>
    <n v="1"/>
    <m/>
    <s v="permethrine"/>
    <x v="3"/>
    <n v="9"/>
    <x v="2"/>
  </r>
  <r>
    <n v="103"/>
    <x v="1"/>
    <n v="3"/>
    <n v="2"/>
    <m/>
    <s v="permethrine"/>
    <x v="3"/>
    <n v="5"/>
    <x v="0"/>
  </r>
  <r>
    <n v="104"/>
    <x v="1"/>
    <n v="3"/>
    <n v="2"/>
    <m/>
    <s v="permethrine"/>
    <x v="3"/>
    <n v="8"/>
    <x v="1"/>
  </r>
  <r>
    <n v="105"/>
    <x v="1"/>
    <n v="3"/>
    <n v="2"/>
    <m/>
    <s v="permethrine"/>
    <x v="3"/>
    <n v="6"/>
    <x v="2"/>
  </r>
  <r>
    <n v="106"/>
    <x v="1"/>
    <n v="3"/>
    <n v="3"/>
    <m/>
    <s v="permethrine"/>
    <x v="3"/>
    <n v="12"/>
    <x v="0"/>
  </r>
  <r>
    <n v="107"/>
    <x v="1"/>
    <n v="3"/>
    <n v="3"/>
    <m/>
    <s v="permethrine"/>
    <x v="3"/>
    <n v="12"/>
    <x v="1"/>
  </r>
  <r>
    <n v="108"/>
    <x v="1"/>
    <n v="3"/>
    <n v="3"/>
    <m/>
    <s v="permethrine"/>
    <x v="3"/>
    <n v="11"/>
    <x v="2"/>
  </r>
  <r>
    <m/>
    <x v="2"/>
    <m/>
    <m/>
    <m/>
    <m/>
    <x v="4"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eau croisé dynamique1" cacheId="2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E8" firstHeaderRow="0" firstDataRow="1" firstDataCol="1"/>
  <pivotFields count="10"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>
      <items count="7">
        <item x="2"/>
        <item x="1"/>
        <item x="4"/>
        <item x="0"/>
        <item x="3"/>
        <item x="5"/>
        <item t="default"/>
      </items>
    </pivotField>
    <pivotField dataField="1" showAll="0">
      <items count="6">
        <item x="3"/>
        <item x="0"/>
        <item x="1"/>
        <item x="2"/>
        <item x="4"/>
        <item t="default"/>
      </items>
    </pivotField>
    <pivotField dataField="1" showAll="0">
      <items count="6">
        <item x="2"/>
        <item x="1"/>
        <item x="3"/>
        <item x="0"/>
        <item x="4"/>
        <item t="default"/>
      </items>
    </pivotField>
    <pivotField dataField="1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e de eau_KDR" fld="2" baseField="0" baseItem="0"/>
    <dataField name="Somme de rose_KDR" fld="3" baseField="0" baseItem="0"/>
    <dataField name="Somme de orange_KDR" fld="4" baseField="0" baseItem="0"/>
    <dataField name="Somme de rouge_KDR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dynamique2" cacheId="3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4">
  <location ref="A3:I16" firstHeaderRow="1" firstDataRow="3" firstDataCol="1"/>
  <pivotFields count="9"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axis="axisCol" showAll="0">
      <items count="5">
        <item x="0"/>
        <item x="1"/>
        <item x="2"/>
        <item h="1" x="3"/>
        <item t="default"/>
      </items>
    </pivotField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2">
    <field x="8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Moyenne de individus" fld="7" subtotal="average" baseField="1" baseItem="0"/>
    <dataField name="Écartype de individus" fld="7" subtotal="stdDev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tabSelected="1" workbookViewId="0">
      <selection activeCell="G104" sqref="G104"/>
    </sheetView>
  </sheetViews>
  <sheetFormatPr baseColWidth="10" defaultRowHeight="15" x14ac:dyDescent="0.25"/>
  <sheetData>
    <row r="1" spans="1:9" x14ac:dyDescent="0.25">
      <c r="A1" t="s">
        <v>35</v>
      </c>
      <c r="B1" t="s">
        <v>31</v>
      </c>
      <c r="C1" t="s">
        <v>28</v>
      </c>
      <c r="D1" s="5" t="s">
        <v>10</v>
      </c>
      <c r="E1" t="s">
        <v>30</v>
      </c>
      <c r="F1" t="s">
        <v>33</v>
      </c>
      <c r="G1" t="s">
        <v>32</v>
      </c>
      <c r="H1" t="s">
        <v>29</v>
      </c>
      <c r="I1" t="s">
        <v>9</v>
      </c>
    </row>
    <row r="2" spans="1:9" x14ac:dyDescent="0.25">
      <c r="A2">
        <v>1</v>
      </c>
      <c r="B2" t="s">
        <v>22</v>
      </c>
      <c r="C2">
        <v>1</v>
      </c>
      <c r="D2">
        <v>1</v>
      </c>
      <c r="E2" t="s">
        <v>40</v>
      </c>
      <c r="F2" t="s">
        <v>24</v>
      </c>
      <c r="G2">
        <v>0</v>
      </c>
      <c r="H2">
        <v>7</v>
      </c>
      <c r="I2">
        <v>1</v>
      </c>
    </row>
    <row r="3" spans="1:9" x14ac:dyDescent="0.25">
      <c r="A3">
        <v>2</v>
      </c>
      <c r="B3" t="s">
        <v>22</v>
      </c>
      <c r="C3">
        <v>1</v>
      </c>
      <c r="D3">
        <v>1</v>
      </c>
      <c r="E3" t="s">
        <v>40</v>
      </c>
      <c r="F3" t="s">
        <v>24</v>
      </c>
      <c r="G3">
        <v>0</v>
      </c>
      <c r="H3">
        <v>8</v>
      </c>
      <c r="I3">
        <v>2</v>
      </c>
    </row>
    <row r="4" spans="1:9" x14ac:dyDescent="0.25">
      <c r="A4">
        <v>3</v>
      </c>
      <c r="B4" t="s">
        <v>22</v>
      </c>
      <c r="C4">
        <v>1</v>
      </c>
      <c r="D4">
        <v>1</v>
      </c>
      <c r="E4" t="s">
        <v>40</v>
      </c>
      <c r="F4" t="s">
        <v>24</v>
      </c>
      <c r="G4">
        <v>0</v>
      </c>
      <c r="H4">
        <v>7</v>
      </c>
      <c r="I4">
        <v>3</v>
      </c>
    </row>
    <row r="5" spans="1:9" x14ac:dyDescent="0.25">
      <c r="A5">
        <v>4</v>
      </c>
      <c r="B5" t="s">
        <v>22</v>
      </c>
      <c r="C5">
        <v>1</v>
      </c>
      <c r="D5">
        <v>2</v>
      </c>
      <c r="E5" t="s">
        <v>40</v>
      </c>
      <c r="F5" t="s">
        <v>24</v>
      </c>
      <c r="G5">
        <v>0</v>
      </c>
      <c r="H5">
        <v>7</v>
      </c>
      <c r="I5">
        <v>1</v>
      </c>
    </row>
    <row r="6" spans="1:9" x14ac:dyDescent="0.25">
      <c r="A6">
        <v>5</v>
      </c>
      <c r="B6" t="s">
        <v>22</v>
      </c>
      <c r="C6">
        <v>1</v>
      </c>
      <c r="D6">
        <v>2</v>
      </c>
      <c r="E6" t="s">
        <v>40</v>
      </c>
      <c r="F6" t="s">
        <v>24</v>
      </c>
      <c r="G6">
        <v>0</v>
      </c>
      <c r="H6">
        <v>7</v>
      </c>
      <c r="I6">
        <v>2</v>
      </c>
    </row>
    <row r="7" spans="1:9" x14ac:dyDescent="0.25">
      <c r="A7">
        <v>6</v>
      </c>
      <c r="B7" t="s">
        <v>22</v>
      </c>
      <c r="C7">
        <v>1</v>
      </c>
      <c r="D7">
        <v>2</v>
      </c>
      <c r="E7" t="s">
        <v>40</v>
      </c>
      <c r="F7" t="s">
        <v>24</v>
      </c>
      <c r="G7">
        <v>0</v>
      </c>
      <c r="H7">
        <v>7</v>
      </c>
      <c r="I7">
        <v>3</v>
      </c>
    </row>
    <row r="8" spans="1:9" x14ac:dyDescent="0.25">
      <c r="A8">
        <v>7</v>
      </c>
      <c r="B8" t="s">
        <v>22</v>
      </c>
      <c r="C8">
        <v>1</v>
      </c>
      <c r="D8">
        <v>3</v>
      </c>
      <c r="E8" t="s">
        <v>40</v>
      </c>
      <c r="F8" t="s">
        <v>24</v>
      </c>
      <c r="G8">
        <v>0</v>
      </c>
      <c r="H8">
        <v>7</v>
      </c>
      <c r="I8">
        <v>1</v>
      </c>
    </row>
    <row r="9" spans="1:9" x14ac:dyDescent="0.25">
      <c r="A9">
        <v>8</v>
      </c>
      <c r="B9" t="s">
        <v>22</v>
      </c>
      <c r="C9">
        <v>1</v>
      </c>
      <c r="D9">
        <v>3</v>
      </c>
      <c r="E9" t="s">
        <v>40</v>
      </c>
      <c r="F9" t="s">
        <v>24</v>
      </c>
      <c r="G9">
        <v>0</v>
      </c>
      <c r="H9">
        <v>9</v>
      </c>
      <c r="I9">
        <v>2</v>
      </c>
    </row>
    <row r="10" spans="1:9" x14ac:dyDescent="0.25">
      <c r="A10">
        <v>9</v>
      </c>
      <c r="B10" t="s">
        <v>22</v>
      </c>
      <c r="C10">
        <v>1</v>
      </c>
      <c r="D10">
        <v>3</v>
      </c>
      <c r="E10" t="s">
        <v>40</v>
      </c>
      <c r="F10" t="s">
        <v>24</v>
      </c>
      <c r="G10">
        <v>0</v>
      </c>
      <c r="H10">
        <v>8</v>
      </c>
      <c r="I10">
        <v>3</v>
      </c>
    </row>
    <row r="11" spans="1:9" x14ac:dyDescent="0.25">
      <c r="A11">
        <v>10</v>
      </c>
      <c r="B11" t="s">
        <v>22</v>
      </c>
      <c r="C11">
        <v>2</v>
      </c>
      <c r="D11">
        <v>1</v>
      </c>
      <c r="E11" t="s">
        <v>40</v>
      </c>
      <c r="F11" t="s">
        <v>24</v>
      </c>
      <c r="G11">
        <v>0</v>
      </c>
      <c r="H11">
        <v>9</v>
      </c>
      <c r="I11">
        <v>1</v>
      </c>
    </row>
    <row r="12" spans="1:9" x14ac:dyDescent="0.25">
      <c r="A12">
        <v>11</v>
      </c>
      <c r="B12" t="s">
        <v>22</v>
      </c>
      <c r="C12">
        <v>2</v>
      </c>
      <c r="D12">
        <v>1</v>
      </c>
      <c r="E12" t="s">
        <v>40</v>
      </c>
      <c r="F12" t="s">
        <v>24</v>
      </c>
      <c r="G12">
        <v>0</v>
      </c>
      <c r="H12">
        <v>9</v>
      </c>
      <c r="I12">
        <v>2</v>
      </c>
    </row>
    <row r="13" spans="1:9" x14ac:dyDescent="0.25">
      <c r="A13">
        <v>12</v>
      </c>
      <c r="B13" t="s">
        <v>22</v>
      </c>
      <c r="C13">
        <v>2</v>
      </c>
      <c r="D13">
        <v>1</v>
      </c>
      <c r="E13" t="s">
        <v>40</v>
      </c>
      <c r="F13" t="s">
        <v>24</v>
      </c>
      <c r="G13">
        <v>0</v>
      </c>
      <c r="H13">
        <v>9</v>
      </c>
      <c r="I13">
        <v>3</v>
      </c>
    </row>
    <row r="14" spans="1:9" x14ac:dyDescent="0.25">
      <c r="A14">
        <v>13</v>
      </c>
      <c r="B14" t="s">
        <v>22</v>
      </c>
      <c r="C14">
        <v>2</v>
      </c>
      <c r="D14">
        <v>2</v>
      </c>
      <c r="E14" t="s">
        <v>40</v>
      </c>
      <c r="F14" t="s">
        <v>24</v>
      </c>
      <c r="G14">
        <v>0</v>
      </c>
      <c r="H14">
        <v>7</v>
      </c>
      <c r="I14">
        <v>1</v>
      </c>
    </row>
    <row r="15" spans="1:9" x14ac:dyDescent="0.25">
      <c r="A15">
        <v>14</v>
      </c>
      <c r="B15" t="s">
        <v>22</v>
      </c>
      <c r="C15">
        <v>2</v>
      </c>
      <c r="D15">
        <v>2</v>
      </c>
      <c r="E15" t="s">
        <v>40</v>
      </c>
      <c r="F15" t="s">
        <v>24</v>
      </c>
      <c r="G15">
        <v>0</v>
      </c>
      <c r="H15">
        <v>8</v>
      </c>
      <c r="I15">
        <v>2</v>
      </c>
    </row>
    <row r="16" spans="1:9" x14ac:dyDescent="0.25">
      <c r="A16">
        <v>15</v>
      </c>
      <c r="B16" t="s">
        <v>22</v>
      </c>
      <c r="C16">
        <v>2</v>
      </c>
      <c r="D16">
        <v>2</v>
      </c>
      <c r="E16" t="s">
        <v>40</v>
      </c>
      <c r="F16" t="s">
        <v>24</v>
      </c>
      <c r="G16">
        <v>0</v>
      </c>
      <c r="H16">
        <v>8</v>
      </c>
      <c r="I16">
        <v>3</v>
      </c>
    </row>
    <row r="17" spans="1:9" x14ac:dyDescent="0.25">
      <c r="A17">
        <v>16</v>
      </c>
      <c r="B17" t="s">
        <v>22</v>
      </c>
      <c r="C17">
        <v>2</v>
      </c>
      <c r="D17">
        <v>3</v>
      </c>
      <c r="E17" t="s">
        <v>40</v>
      </c>
      <c r="F17" t="s">
        <v>24</v>
      </c>
      <c r="G17">
        <v>0</v>
      </c>
      <c r="H17">
        <v>6</v>
      </c>
      <c r="I17">
        <v>1</v>
      </c>
    </row>
    <row r="18" spans="1:9" x14ac:dyDescent="0.25">
      <c r="A18">
        <v>17</v>
      </c>
      <c r="B18" t="s">
        <v>22</v>
      </c>
      <c r="C18">
        <v>2</v>
      </c>
      <c r="D18">
        <v>3</v>
      </c>
      <c r="E18" t="s">
        <v>40</v>
      </c>
      <c r="F18" t="s">
        <v>24</v>
      </c>
      <c r="G18">
        <v>0</v>
      </c>
      <c r="H18">
        <v>8</v>
      </c>
      <c r="I18">
        <v>2</v>
      </c>
    </row>
    <row r="19" spans="1:9" x14ac:dyDescent="0.25">
      <c r="A19">
        <v>18</v>
      </c>
      <c r="B19" t="s">
        <v>22</v>
      </c>
      <c r="C19">
        <v>2</v>
      </c>
      <c r="D19">
        <v>3</v>
      </c>
      <c r="E19" t="s">
        <v>40</v>
      </c>
      <c r="F19" t="s">
        <v>24</v>
      </c>
      <c r="G19">
        <v>0</v>
      </c>
      <c r="H19">
        <v>8</v>
      </c>
      <c r="I19">
        <v>3</v>
      </c>
    </row>
    <row r="20" spans="1:9" x14ac:dyDescent="0.25">
      <c r="A20">
        <v>19</v>
      </c>
      <c r="B20" t="s">
        <v>23</v>
      </c>
      <c r="C20">
        <v>3</v>
      </c>
      <c r="D20">
        <v>1</v>
      </c>
      <c r="E20" t="s">
        <v>41</v>
      </c>
      <c r="F20" t="s">
        <v>24</v>
      </c>
      <c r="G20">
        <v>0</v>
      </c>
      <c r="H20">
        <v>4</v>
      </c>
      <c r="I20">
        <v>1</v>
      </c>
    </row>
    <row r="21" spans="1:9" x14ac:dyDescent="0.25">
      <c r="A21">
        <v>20</v>
      </c>
      <c r="B21" t="s">
        <v>23</v>
      </c>
      <c r="C21">
        <v>3</v>
      </c>
      <c r="D21">
        <v>1</v>
      </c>
      <c r="E21" t="s">
        <v>41</v>
      </c>
      <c r="F21" t="s">
        <v>24</v>
      </c>
      <c r="G21">
        <v>0</v>
      </c>
      <c r="H21">
        <v>5</v>
      </c>
      <c r="I21">
        <v>2</v>
      </c>
    </row>
    <row r="22" spans="1:9" x14ac:dyDescent="0.25">
      <c r="A22">
        <v>21</v>
      </c>
      <c r="B22" t="s">
        <v>23</v>
      </c>
      <c r="C22">
        <v>3</v>
      </c>
      <c r="D22">
        <v>1</v>
      </c>
      <c r="E22" t="s">
        <v>41</v>
      </c>
      <c r="F22" t="s">
        <v>24</v>
      </c>
      <c r="G22">
        <v>0</v>
      </c>
      <c r="H22">
        <v>5</v>
      </c>
      <c r="I22">
        <v>3</v>
      </c>
    </row>
    <row r="23" spans="1:9" x14ac:dyDescent="0.25">
      <c r="A23">
        <v>22</v>
      </c>
      <c r="B23" t="s">
        <v>23</v>
      </c>
      <c r="C23">
        <v>3</v>
      </c>
      <c r="D23">
        <v>2</v>
      </c>
      <c r="E23" t="s">
        <v>41</v>
      </c>
      <c r="F23" t="s">
        <v>24</v>
      </c>
      <c r="G23">
        <v>0</v>
      </c>
      <c r="H23">
        <v>9</v>
      </c>
      <c r="I23">
        <v>1</v>
      </c>
    </row>
    <row r="24" spans="1:9" x14ac:dyDescent="0.25">
      <c r="A24">
        <v>23</v>
      </c>
      <c r="B24" t="s">
        <v>23</v>
      </c>
      <c r="C24">
        <v>3</v>
      </c>
      <c r="D24">
        <v>2</v>
      </c>
      <c r="E24" t="s">
        <v>41</v>
      </c>
      <c r="F24" t="s">
        <v>24</v>
      </c>
      <c r="G24">
        <v>0</v>
      </c>
      <c r="H24">
        <v>10</v>
      </c>
      <c r="I24">
        <v>2</v>
      </c>
    </row>
    <row r="25" spans="1:9" x14ac:dyDescent="0.25">
      <c r="A25">
        <v>24</v>
      </c>
      <c r="B25" t="s">
        <v>23</v>
      </c>
      <c r="C25">
        <v>3</v>
      </c>
      <c r="D25">
        <v>2</v>
      </c>
      <c r="E25" t="s">
        <v>41</v>
      </c>
      <c r="F25" t="s">
        <v>24</v>
      </c>
      <c r="G25">
        <v>0</v>
      </c>
      <c r="H25">
        <v>10</v>
      </c>
      <c r="I25">
        <v>3</v>
      </c>
    </row>
    <row r="26" spans="1:9" x14ac:dyDescent="0.25">
      <c r="A26">
        <v>25</v>
      </c>
      <c r="B26" t="s">
        <v>23</v>
      </c>
      <c r="C26">
        <v>3</v>
      </c>
      <c r="D26">
        <v>3</v>
      </c>
      <c r="E26" t="s">
        <v>41</v>
      </c>
      <c r="F26" t="s">
        <v>24</v>
      </c>
      <c r="G26">
        <v>0</v>
      </c>
      <c r="H26">
        <v>7</v>
      </c>
      <c r="I26">
        <v>1</v>
      </c>
    </row>
    <row r="27" spans="1:9" x14ac:dyDescent="0.25">
      <c r="A27">
        <v>26</v>
      </c>
      <c r="B27" t="s">
        <v>23</v>
      </c>
      <c r="C27">
        <v>3</v>
      </c>
      <c r="D27">
        <v>3</v>
      </c>
      <c r="E27" t="s">
        <v>41</v>
      </c>
      <c r="F27" t="s">
        <v>24</v>
      </c>
      <c r="G27">
        <v>0</v>
      </c>
      <c r="H27">
        <v>8</v>
      </c>
      <c r="I27">
        <v>2</v>
      </c>
    </row>
    <row r="28" spans="1:9" x14ac:dyDescent="0.25">
      <c r="A28">
        <v>27</v>
      </c>
      <c r="B28" t="s">
        <v>23</v>
      </c>
      <c r="C28">
        <v>3</v>
      </c>
      <c r="D28">
        <v>3</v>
      </c>
      <c r="E28" t="s">
        <v>41</v>
      </c>
      <c r="F28" t="s">
        <v>24</v>
      </c>
      <c r="G28">
        <v>0</v>
      </c>
      <c r="H28">
        <v>8</v>
      </c>
      <c r="I28">
        <v>3</v>
      </c>
    </row>
    <row r="29" spans="1:9" x14ac:dyDescent="0.25">
      <c r="A29">
        <v>28</v>
      </c>
      <c r="B29" t="s">
        <v>22</v>
      </c>
      <c r="C29">
        <v>1</v>
      </c>
      <c r="D29">
        <v>1</v>
      </c>
      <c r="E29" t="s">
        <v>42</v>
      </c>
      <c r="F29" t="s">
        <v>34</v>
      </c>
      <c r="G29">
        <v>2.0000000000000001E-4</v>
      </c>
      <c r="H29">
        <v>10</v>
      </c>
      <c r="I29">
        <v>1</v>
      </c>
    </row>
    <row r="30" spans="1:9" x14ac:dyDescent="0.25">
      <c r="A30">
        <v>29</v>
      </c>
      <c r="B30" t="s">
        <v>22</v>
      </c>
      <c r="C30">
        <v>1</v>
      </c>
      <c r="D30">
        <v>1</v>
      </c>
      <c r="E30" t="s">
        <v>42</v>
      </c>
      <c r="F30" t="s">
        <v>34</v>
      </c>
      <c r="G30">
        <v>2.0000000000000001E-4</v>
      </c>
      <c r="H30">
        <v>10</v>
      </c>
      <c r="I30">
        <v>2</v>
      </c>
    </row>
    <row r="31" spans="1:9" x14ac:dyDescent="0.25">
      <c r="A31">
        <v>30</v>
      </c>
      <c r="B31" t="s">
        <v>22</v>
      </c>
      <c r="C31">
        <v>1</v>
      </c>
      <c r="D31">
        <v>1</v>
      </c>
      <c r="E31" t="s">
        <v>42</v>
      </c>
      <c r="F31" t="s">
        <v>34</v>
      </c>
      <c r="G31">
        <v>2.0000000000000001E-4</v>
      </c>
      <c r="H31">
        <v>10</v>
      </c>
      <c r="I31">
        <v>3</v>
      </c>
    </row>
    <row r="32" spans="1:9" x14ac:dyDescent="0.25">
      <c r="A32">
        <v>31</v>
      </c>
      <c r="B32" t="s">
        <v>22</v>
      </c>
      <c r="C32">
        <v>1</v>
      </c>
      <c r="D32">
        <v>2</v>
      </c>
      <c r="E32" t="s">
        <v>42</v>
      </c>
      <c r="F32" t="s">
        <v>34</v>
      </c>
      <c r="G32">
        <v>2.0000000000000001E-4</v>
      </c>
      <c r="H32">
        <v>9</v>
      </c>
      <c r="I32">
        <v>1</v>
      </c>
    </row>
    <row r="33" spans="1:9" x14ac:dyDescent="0.25">
      <c r="A33">
        <v>32</v>
      </c>
      <c r="B33" t="s">
        <v>22</v>
      </c>
      <c r="C33">
        <v>1</v>
      </c>
      <c r="D33">
        <v>2</v>
      </c>
      <c r="E33" t="s">
        <v>42</v>
      </c>
      <c r="F33" t="s">
        <v>34</v>
      </c>
      <c r="G33">
        <v>2.0000000000000001E-4</v>
      </c>
      <c r="H33">
        <v>9</v>
      </c>
      <c r="I33">
        <v>2</v>
      </c>
    </row>
    <row r="34" spans="1:9" x14ac:dyDescent="0.25">
      <c r="A34">
        <v>33</v>
      </c>
      <c r="B34" t="s">
        <v>22</v>
      </c>
      <c r="C34">
        <v>1</v>
      </c>
      <c r="D34">
        <v>2</v>
      </c>
      <c r="E34" t="s">
        <v>42</v>
      </c>
      <c r="F34" t="s">
        <v>34</v>
      </c>
      <c r="G34">
        <v>2.0000000000000001E-4</v>
      </c>
      <c r="H34">
        <v>9</v>
      </c>
      <c r="I34">
        <v>3</v>
      </c>
    </row>
    <row r="35" spans="1:9" x14ac:dyDescent="0.25">
      <c r="A35">
        <v>34</v>
      </c>
      <c r="B35" t="s">
        <v>22</v>
      </c>
      <c r="C35">
        <v>1</v>
      </c>
      <c r="D35">
        <v>3</v>
      </c>
      <c r="E35" t="s">
        <v>42</v>
      </c>
      <c r="F35" t="s">
        <v>34</v>
      </c>
      <c r="G35">
        <v>2.0000000000000001E-4</v>
      </c>
      <c r="H35">
        <v>9</v>
      </c>
      <c r="I35">
        <v>1</v>
      </c>
    </row>
    <row r="36" spans="1:9" x14ac:dyDescent="0.25">
      <c r="A36">
        <v>35</v>
      </c>
      <c r="B36" t="s">
        <v>22</v>
      </c>
      <c r="C36">
        <v>1</v>
      </c>
      <c r="D36">
        <v>3</v>
      </c>
      <c r="E36" t="s">
        <v>42</v>
      </c>
      <c r="F36" t="s">
        <v>34</v>
      </c>
      <c r="G36">
        <v>2.0000000000000001E-4</v>
      </c>
      <c r="H36">
        <v>9</v>
      </c>
      <c r="I36">
        <v>2</v>
      </c>
    </row>
    <row r="37" spans="1:9" x14ac:dyDescent="0.25">
      <c r="A37">
        <v>36</v>
      </c>
      <c r="B37" t="s">
        <v>22</v>
      </c>
      <c r="C37">
        <v>1</v>
      </c>
      <c r="D37">
        <v>3</v>
      </c>
      <c r="E37" t="s">
        <v>42</v>
      </c>
      <c r="F37" t="s">
        <v>34</v>
      </c>
      <c r="G37">
        <v>2.0000000000000001E-4</v>
      </c>
      <c r="H37">
        <v>9</v>
      </c>
      <c r="I37">
        <v>3</v>
      </c>
    </row>
    <row r="38" spans="1:9" x14ac:dyDescent="0.25">
      <c r="A38">
        <v>37</v>
      </c>
      <c r="B38" t="s">
        <v>22</v>
      </c>
      <c r="C38">
        <v>2</v>
      </c>
      <c r="D38">
        <v>1</v>
      </c>
      <c r="E38" t="s">
        <v>42</v>
      </c>
      <c r="F38" t="s">
        <v>34</v>
      </c>
      <c r="G38">
        <v>2.0000000000000001E-4</v>
      </c>
      <c r="H38">
        <v>6</v>
      </c>
      <c r="I38">
        <v>1</v>
      </c>
    </row>
    <row r="39" spans="1:9" x14ac:dyDescent="0.25">
      <c r="A39">
        <v>38</v>
      </c>
      <c r="B39" t="s">
        <v>22</v>
      </c>
      <c r="C39">
        <v>2</v>
      </c>
      <c r="D39">
        <v>1</v>
      </c>
      <c r="E39" t="s">
        <v>42</v>
      </c>
      <c r="F39" t="s">
        <v>34</v>
      </c>
      <c r="G39">
        <v>2.0000000000000001E-4</v>
      </c>
      <c r="H39">
        <v>7</v>
      </c>
      <c r="I39">
        <v>2</v>
      </c>
    </row>
    <row r="40" spans="1:9" x14ac:dyDescent="0.25">
      <c r="A40">
        <v>39</v>
      </c>
      <c r="B40" t="s">
        <v>22</v>
      </c>
      <c r="C40">
        <v>2</v>
      </c>
      <c r="D40">
        <v>1</v>
      </c>
      <c r="E40" t="s">
        <v>42</v>
      </c>
      <c r="F40" t="s">
        <v>34</v>
      </c>
      <c r="G40">
        <v>2.0000000000000001E-4</v>
      </c>
      <c r="H40">
        <v>7</v>
      </c>
      <c r="I40">
        <v>3</v>
      </c>
    </row>
    <row r="41" spans="1:9" x14ac:dyDescent="0.25">
      <c r="A41">
        <v>40</v>
      </c>
      <c r="B41" t="s">
        <v>22</v>
      </c>
      <c r="C41">
        <v>2</v>
      </c>
      <c r="D41">
        <v>2</v>
      </c>
      <c r="E41" t="s">
        <v>42</v>
      </c>
      <c r="F41" t="s">
        <v>34</v>
      </c>
      <c r="G41">
        <v>2.0000000000000001E-4</v>
      </c>
      <c r="H41">
        <v>8</v>
      </c>
      <c r="I41">
        <v>1</v>
      </c>
    </row>
    <row r="42" spans="1:9" x14ac:dyDescent="0.25">
      <c r="A42">
        <v>41</v>
      </c>
      <c r="B42" t="s">
        <v>22</v>
      </c>
      <c r="C42">
        <v>2</v>
      </c>
      <c r="D42">
        <v>2</v>
      </c>
      <c r="E42" t="s">
        <v>42</v>
      </c>
      <c r="F42" t="s">
        <v>34</v>
      </c>
      <c r="G42">
        <v>2.0000000000000001E-4</v>
      </c>
      <c r="H42">
        <v>9</v>
      </c>
      <c r="I42">
        <v>2</v>
      </c>
    </row>
    <row r="43" spans="1:9" x14ac:dyDescent="0.25">
      <c r="A43">
        <v>42</v>
      </c>
      <c r="B43" t="s">
        <v>22</v>
      </c>
      <c r="C43">
        <v>2</v>
      </c>
      <c r="D43">
        <v>2</v>
      </c>
      <c r="E43" t="s">
        <v>42</v>
      </c>
      <c r="F43" t="s">
        <v>34</v>
      </c>
      <c r="G43">
        <v>2.0000000000000001E-4</v>
      </c>
      <c r="H43">
        <v>9</v>
      </c>
      <c r="I43">
        <v>3</v>
      </c>
    </row>
    <row r="44" spans="1:9" x14ac:dyDescent="0.25">
      <c r="A44">
        <v>43</v>
      </c>
      <c r="B44" t="s">
        <v>22</v>
      </c>
      <c r="C44">
        <v>2</v>
      </c>
      <c r="D44">
        <v>3</v>
      </c>
      <c r="E44" t="s">
        <v>42</v>
      </c>
      <c r="F44" t="s">
        <v>34</v>
      </c>
      <c r="G44">
        <v>2.0000000000000001E-4</v>
      </c>
      <c r="H44">
        <v>7</v>
      </c>
      <c r="I44">
        <v>1</v>
      </c>
    </row>
    <row r="45" spans="1:9" x14ac:dyDescent="0.25">
      <c r="A45">
        <v>44</v>
      </c>
      <c r="B45" t="s">
        <v>22</v>
      </c>
      <c r="C45">
        <v>2</v>
      </c>
      <c r="D45">
        <v>3</v>
      </c>
      <c r="E45" t="s">
        <v>42</v>
      </c>
      <c r="F45" t="s">
        <v>34</v>
      </c>
      <c r="G45">
        <v>2.0000000000000001E-4</v>
      </c>
      <c r="H45">
        <v>6</v>
      </c>
      <c r="I45">
        <v>2</v>
      </c>
    </row>
    <row r="46" spans="1:9" x14ac:dyDescent="0.25">
      <c r="A46">
        <v>45</v>
      </c>
      <c r="B46" t="s">
        <v>22</v>
      </c>
      <c r="C46">
        <v>2</v>
      </c>
      <c r="D46">
        <v>3</v>
      </c>
      <c r="E46" t="s">
        <v>42</v>
      </c>
      <c r="F46" t="s">
        <v>34</v>
      </c>
      <c r="G46">
        <v>2.0000000000000001E-4</v>
      </c>
      <c r="H46">
        <v>7</v>
      </c>
      <c r="I46">
        <v>3</v>
      </c>
    </row>
    <row r="47" spans="1:9" x14ac:dyDescent="0.25">
      <c r="A47">
        <v>46</v>
      </c>
      <c r="B47" t="s">
        <v>23</v>
      </c>
      <c r="C47">
        <v>3</v>
      </c>
      <c r="D47">
        <v>1</v>
      </c>
      <c r="E47" t="s">
        <v>43</v>
      </c>
      <c r="F47" t="s">
        <v>34</v>
      </c>
      <c r="G47">
        <v>2.0000000000000001E-4</v>
      </c>
      <c r="H47">
        <v>7</v>
      </c>
      <c r="I47">
        <v>1</v>
      </c>
    </row>
    <row r="48" spans="1:9" x14ac:dyDescent="0.25">
      <c r="A48">
        <v>47</v>
      </c>
      <c r="B48" t="s">
        <v>23</v>
      </c>
      <c r="C48">
        <v>3</v>
      </c>
      <c r="D48">
        <v>1</v>
      </c>
      <c r="E48" t="s">
        <v>43</v>
      </c>
      <c r="F48" t="s">
        <v>34</v>
      </c>
      <c r="G48">
        <v>2.0000000000000001E-4</v>
      </c>
      <c r="H48">
        <v>7</v>
      </c>
      <c r="I48">
        <v>2</v>
      </c>
    </row>
    <row r="49" spans="1:9" x14ac:dyDescent="0.25">
      <c r="A49">
        <v>48</v>
      </c>
      <c r="B49" t="s">
        <v>23</v>
      </c>
      <c r="C49">
        <v>3</v>
      </c>
      <c r="D49">
        <v>1</v>
      </c>
      <c r="E49" t="s">
        <v>43</v>
      </c>
      <c r="F49" t="s">
        <v>34</v>
      </c>
      <c r="G49">
        <v>2.0000000000000001E-4</v>
      </c>
      <c r="H49">
        <v>6</v>
      </c>
      <c r="I49">
        <v>3</v>
      </c>
    </row>
    <row r="50" spans="1:9" x14ac:dyDescent="0.25">
      <c r="A50">
        <v>49</v>
      </c>
      <c r="B50" t="s">
        <v>23</v>
      </c>
      <c r="C50">
        <v>3</v>
      </c>
      <c r="D50">
        <v>2</v>
      </c>
      <c r="E50" t="s">
        <v>43</v>
      </c>
      <c r="F50" t="s">
        <v>34</v>
      </c>
      <c r="G50">
        <v>2.0000000000000001E-4</v>
      </c>
      <c r="H50">
        <v>8</v>
      </c>
      <c r="I50">
        <v>1</v>
      </c>
    </row>
    <row r="51" spans="1:9" x14ac:dyDescent="0.25">
      <c r="A51">
        <v>50</v>
      </c>
      <c r="B51" t="s">
        <v>23</v>
      </c>
      <c r="C51">
        <v>3</v>
      </c>
      <c r="D51">
        <v>2</v>
      </c>
      <c r="E51" t="s">
        <v>43</v>
      </c>
      <c r="F51" t="s">
        <v>34</v>
      </c>
      <c r="G51">
        <v>2.0000000000000001E-4</v>
      </c>
      <c r="H51">
        <v>9</v>
      </c>
      <c r="I51">
        <v>2</v>
      </c>
    </row>
    <row r="52" spans="1:9" x14ac:dyDescent="0.25">
      <c r="A52">
        <v>51</v>
      </c>
      <c r="B52" t="s">
        <v>23</v>
      </c>
      <c r="C52">
        <v>3</v>
      </c>
      <c r="D52">
        <v>2</v>
      </c>
      <c r="E52" t="s">
        <v>43</v>
      </c>
      <c r="F52" t="s">
        <v>34</v>
      </c>
      <c r="G52">
        <v>2.0000000000000001E-4</v>
      </c>
      <c r="H52">
        <v>10</v>
      </c>
      <c r="I52">
        <v>3</v>
      </c>
    </row>
    <row r="53" spans="1:9" x14ac:dyDescent="0.25">
      <c r="A53">
        <v>52</v>
      </c>
      <c r="B53" t="s">
        <v>23</v>
      </c>
      <c r="C53">
        <v>3</v>
      </c>
      <c r="D53">
        <v>3</v>
      </c>
      <c r="E53" t="s">
        <v>43</v>
      </c>
      <c r="F53" t="s">
        <v>34</v>
      </c>
      <c r="G53">
        <v>2.0000000000000001E-4</v>
      </c>
      <c r="H53">
        <v>6</v>
      </c>
      <c r="I53">
        <v>1</v>
      </c>
    </row>
    <row r="54" spans="1:9" x14ac:dyDescent="0.25">
      <c r="A54">
        <v>53</v>
      </c>
      <c r="B54" t="s">
        <v>23</v>
      </c>
      <c r="C54">
        <v>3</v>
      </c>
      <c r="D54">
        <v>3</v>
      </c>
      <c r="E54" t="s">
        <v>43</v>
      </c>
      <c r="F54" t="s">
        <v>34</v>
      </c>
      <c r="G54">
        <v>2.0000000000000001E-4</v>
      </c>
      <c r="H54">
        <v>8</v>
      </c>
      <c r="I54">
        <v>2</v>
      </c>
    </row>
    <row r="55" spans="1:9" x14ac:dyDescent="0.25">
      <c r="A55">
        <v>54</v>
      </c>
      <c r="B55" t="s">
        <v>23</v>
      </c>
      <c r="C55">
        <v>3</v>
      </c>
      <c r="D55">
        <v>3</v>
      </c>
      <c r="E55" t="s">
        <v>43</v>
      </c>
      <c r="F55" t="s">
        <v>34</v>
      </c>
      <c r="G55">
        <v>2.0000000000000001E-4</v>
      </c>
      <c r="H55">
        <v>8</v>
      </c>
      <c r="I55">
        <v>3</v>
      </c>
    </row>
    <row r="56" spans="1:9" x14ac:dyDescent="0.25">
      <c r="A56">
        <v>55</v>
      </c>
      <c r="B56" t="s">
        <v>22</v>
      </c>
      <c r="C56">
        <v>1</v>
      </c>
      <c r="D56">
        <v>1</v>
      </c>
      <c r="E56" t="s">
        <v>44</v>
      </c>
      <c r="F56" t="s">
        <v>34</v>
      </c>
      <c r="G56">
        <v>2E-3</v>
      </c>
      <c r="H56">
        <v>10</v>
      </c>
      <c r="I56">
        <v>1</v>
      </c>
    </row>
    <row r="57" spans="1:9" x14ac:dyDescent="0.25">
      <c r="A57">
        <v>56</v>
      </c>
      <c r="B57" t="s">
        <v>22</v>
      </c>
      <c r="C57">
        <v>1</v>
      </c>
      <c r="D57">
        <v>1</v>
      </c>
      <c r="E57" t="s">
        <v>44</v>
      </c>
      <c r="F57" t="s">
        <v>34</v>
      </c>
      <c r="G57">
        <v>2E-3</v>
      </c>
      <c r="H57">
        <v>10</v>
      </c>
      <c r="I57">
        <v>2</v>
      </c>
    </row>
    <row r="58" spans="1:9" x14ac:dyDescent="0.25">
      <c r="A58">
        <v>57</v>
      </c>
      <c r="B58" t="s">
        <v>22</v>
      </c>
      <c r="C58">
        <v>1</v>
      </c>
      <c r="D58">
        <v>1</v>
      </c>
      <c r="E58" t="s">
        <v>44</v>
      </c>
      <c r="F58" t="s">
        <v>34</v>
      </c>
      <c r="G58">
        <v>2E-3</v>
      </c>
      <c r="H58">
        <v>10</v>
      </c>
      <c r="I58">
        <v>3</v>
      </c>
    </row>
    <row r="59" spans="1:9" x14ac:dyDescent="0.25">
      <c r="A59">
        <v>58</v>
      </c>
      <c r="B59" t="s">
        <v>22</v>
      </c>
      <c r="C59">
        <v>1</v>
      </c>
      <c r="D59">
        <v>2</v>
      </c>
      <c r="E59" t="s">
        <v>44</v>
      </c>
      <c r="F59" t="s">
        <v>34</v>
      </c>
      <c r="G59">
        <v>2E-3</v>
      </c>
      <c r="H59">
        <v>10</v>
      </c>
      <c r="I59">
        <v>1</v>
      </c>
    </row>
    <row r="60" spans="1:9" x14ac:dyDescent="0.25">
      <c r="A60">
        <v>59</v>
      </c>
      <c r="B60" t="s">
        <v>22</v>
      </c>
      <c r="C60">
        <v>1</v>
      </c>
      <c r="D60">
        <v>2</v>
      </c>
      <c r="E60" t="s">
        <v>44</v>
      </c>
      <c r="F60" t="s">
        <v>34</v>
      </c>
      <c r="G60">
        <v>2E-3</v>
      </c>
      <c r="H60">
        <v>10</v>
      </c>
      <c r="I60">
        <v>2</v>
      </c>
    </row>
    <row r="61" spans="1:9" x14ac:dyDescent="0.25">
      <c r="A61">
        <v>60</v>
      </c>
      <c r="B61" t="s">
        <v>22</v>
      </c>
      <c r="C61">
        <v>1</v>
      </c>
      <c r="D61">
        <v>2</v>
      </c>
      <c r="E61" t="s">
        <v>44</v>
      </c>
      <c r="F61" t="s">
        <v>34</v>
      </c>
      <c r="G61">
        <v>2E-3</v>
      </c>
      <c r="H61">
        <v>10</v>
      </c>
      <c r="I61">
        <v>3</v>
      </c>
    </row>
    <row r="62" spans="1:9" x14ac:dyDescent="0.25">
      <c r="A62">
        <v>61</v>
      </c>
      <c r="B62" t="s">
        <v>22</v>
      </c>
      <c r="C62">
        <v>1</v>
      </c>
      <c r="D62">
        <v>3</v>
      </c>
      <c r="E62" t="s">
        <v>44</v>
      </c>
      <c r="F62" t="s">
        <v>34</v>
      </c>
      <c r="G62">
        <v>2E-3</v>
      </c>
      <c r="H62">
        <v>7</v>
      </c>
      <c r="I62">
        <v>1</v>
      </c>
    </row>
    <row r="63" spans="1:9" x14ac:dyDescent="0.25">
      <c r="A63">
        <v>62</v>
      </c>
      <c r="B63" t="s">
        <v>22</v>
      </c>
      <c r="C63">
        <v>1</v>
      </c>
      <c r="D63">
        <v>3</v>
      </c>
      <c r="E63" t="s">
        <v>44</v>
      </c>
      <c r="F63" t="s">
        <v>34</v>
      </c>
      <c r="G63">
        <v>2E-3</v>
      </c>
      <c r="H63">
        <v>8</v>
      </c>
      <c r="I63">
        <v>2</v>
      </c>
    </row>
    <row r="64" spans="1:9" x14ac:dyDescent="0.25">
      <c r="A64">
        <v>63</v>
      </c>
      <c r="B64" t="s">
        <v>22</v>
      </c>
      <c r="C64">
        <v>1</v>
      </c>
      <c r="D64">
        <v>3</v>
      </c>
      <c r="E64" t="s">
        <v>44</v>
      </c>
      <c r="F64" t="s">
        <v>34</v>
      </c>
      <c r="G64">
        <v>2E-3</v>
      </c>
      <c r="H64">
        <v>8</v>
      </c>
      <c r="I64">
        <v>3</v>
      </c>
    </row>
    <row r="65" spans="1:9" x14ac:dyDescent="0.25">
      <c r="A65">
        <v>64</v>
      </c>
      <c r="B65" t="s">
        <v>22</v>
      </c>
      <c r="C65">
        <v>2</v>
      </c>
      <c r="D65">
        <v>1</v>
      </c>
      <c r="E65" t="s">
        <v>44</v>
      </c>
      <c r="F65" t="s">
        <v>34</v>
      </c>
      <c r="G65">
        <v>2E-3</v>
      </c>
      <c r="H65">
        <v>8</v>
      </c>
      <c r="I65">
        <v>1</v>
      </c>
    </row>
    <row r="66" spans="1:9" x14ac:dyDescent="0.25">
      <c r="A66">
        <v>65</v>
      </c>
      <c r="B66" t="s">
        <v>22</v>
      </c>
      <c r="C66">
        <v>2</v>
      </c>
      <c r="D66">
        <v>1</v>
      </c>
      <c r="E66" t="s">
        <v>44</v>
      </c>
      <c r="F66" t="s">
        <v>34</v>
      </c>
      <c r="G66">
        <v>2E-3</v>
      </c>
      <c r="H66">
        <v>7</v>
      </c>
      <c r="I66">
        <v>2</v>
      </c>
    </row>
    <row r="67" spans="1:9" x14ac:dyDescent="0.25">
      <c r="A67">
        <v>66</v>
      </c>
      <c r="B67" t="s">
        <v>22</v>
      </c>
      <c r="C67">
        <v>2</v>
      </c>
      <c r="D67">
        <v>1</v>
      </c>
      <c r="E67" t="s">
        <v>44</v>
      </c>
      <c r="F67" t="s">
        <v>34</v>
      </c>
      <c r="G67">
        <v>2E-3</v>
      </c>
      <c r="H67">
        <v>7</v>
      </c>
      <c r="I67">
        <v>3</v>
      </c>
    </row>
    <row r="68" spans="1:9" x14ac:dyDescent="0.25">
      <c r="A68">
        <v>67</v>
      </c>
      <c r="B68" t="s">
        <v>22</v>
      </c>
      <c r="C68">
        <v>2</v>
      </c>
      <c r="D68">
        <v>2</v>
      </c>
      <c r="E68" t="s">
        <v>44</v>
      </c>
      <c r="F68" t="s">
        <v>34</v>
      </c>
      <c r="G68">
        <v>2E-3</v>
      </c>
      <c r="H68">
        <v>6</v>
      </c>
      <c r="I68">
        <v>1</v>
      </c>
    </row>
    <row r="69" spans="1:9" x14ac:dyDescent="0.25">
      <c r="A69">
        <v>68</v>
      </c>
      <c r="B69" t="s">
        <v>22</v>
      </c>
      <c r="C69">
        <v>2</v>
      </c>
      <c r="D69">
        <v>2</v>
      </c>
      <c r="E69" t="s">
        <v>44</v>
      </c>
      <c r="F69" t="s">
        <v>34</v>
      </c>
      <c r="G69">
        <v>2E-3</v>
      </c>
      <c r="H69">
        <v>7</v>
      </c>
      <c r="I69">
        <v>2</v>
      </c>
    </row>
    <row r="70" spans="1:9" x14ac:dyDescent="0.25">
      <c r="A70">
        <v>69</v>
      </c>
      <c r="B70" t="s">
        <v>22</v>
      </c>
      <c r="C70">
        <v>2</v>
      </c>
      <c r="D70">
        <v>2</v>
      </c>
      <c r="E70" t="s">
        <v>44</v>
      </c>
      <c r="F70" t="s">
        <v>34</v>
      </c>
      <c r="G70">
        <v>2E-3</v>
      </c>
      <c r="H70">
        <v>7</v>
      </c>
      <c r="I70">
        <v>3</v>
      </c>
    </row>
    <row r="71" spans="1:9" x14ac:dyDescent="0.25">
      <c r="A71">
        <v>70</v>
      </c>
      <c r="B71" t="s">
        <v>22</v>
      </c>
      <c r="C71">
        <v>2</v>
      </c>
      <c r="D71">
        <v>3</v>
      </c>
      <c r="E71" t="s">
        <v>44</v>
      </c>
      <c r="F71" t="s">
        <v>34</v>
      </c>
      <c r="G71">
        <v>2E-3</v>
      </c>
      <c r="H71">
        <v>8</v>
      </c>
      <c r="I71">
        <v>1</v>
      </c>
    </row>
    <row r="72" spans="1:9" x14ac:dyDescent="0.25">
      <c r="A72">
        <v>71</v>
      </c>
      <c r="B72" t="s">
        <v>22</v>
      </c>
      <c r="C72">
        <v>2</v>
      </c>
      <c r="D72">
        <v>3</v>
      </c>
      <c r="E72" t="s">
        <v>44</v>
      </c>
      <c r="F72" t="s">
        <v>34</v>
      </c>
      <c r="G72">
        <v>2E-3</v>
      </c>
      <c r="H72">
        <v>8</v>
      </c>
      <c r="I72">
        <v>2</v>
      </c>
    </row>
    <row r="73" spans="1:9" x14ac:dyDescent="0.25">
      <c r="A73">
        <v>72</v>
      </c>
      <c r="B73" t="s">
        <v>22</v>
      </c>
      <c r="C73">
        <v>2</v>
      </c>
      <c r="D73">
        <v>3</v>
      </c>
      <c r="E73" t="s">
        <v>44</v>
      </c>
      <c r="F73" t="s">
        <v>34</v>
      </c>
      <c r="G73">
        <v>2E-3</v>
      </c>
      <c r="H73">
        <v>8</v>
      </c>
      <c r="I73">
        <v>3</v>
      </c>
    </row>
    <row r="74" spans="1:9" x14ac:dyDescent="0.25">
      <c r="A74">
        <v>73</v>
      </c>
      <c r="B74" t="s">
        <v>23</v>
      </c>
      <c r="C74">
        <v>3</v>
      </c>
      <c r="D74">
        <v>1</v>
      </c>
      <c r="E74" t="s">
        <v>45</v>
      </c>
      <c r="F74" t="s">
        <v>34</v>
      </c>
      <c r="G74">
        <v>2E-3</v>
      </c>
      <c r="H74">
        <v>7</v>
      </c>
      <c r="I74">
        <v>1</v>
      </c>
    </row>
    <row r="75" spans="1:9" x14ac:dyDescent="0.25">
      <c r="A75">
        <v>74</v>
      </c>
      <c r="B75" t="s">
        <v>23</v>
      </c>
      <c r="C75">
        <v>3</v>
      </c>
      <c r="D75">
        <v>1</v>
      </c>
      <c r="E75" t="s">
        <v>45</v>
      </c>
      <c r="F75" t="s">
        <v>34</v>
      </c>
      <c r="G75">
        <v>2E-3</v>
      </c>
      <c r="H75">
        <v>9</v>
      </c>
      <c r="I75">
        <v>2</v>
      </c>
    </row>
    <row r="76" spans="1:9" x14ac:dyDescent="0.25">
      <c r="A76">
        <v>75</v>
      </c>
      <c r="B76" t="s">
        <v>23</v>
      </c>
      <c r="C76">
        <v>3</v>
      </c>
      <c r="D76">
        <v>1</v>
      </c>
      <c r="E76" t="s">
        <v>45</v>
      </c>
      <c r="F76" t="s">
        <v>34</v>
      </c>
      <c r="G76">
        <v>2E-3</v>
      </c>
      <c r="H76">
        <v>8</v>
      </c>
      <c r="I76">
        <v>3</v>
      </c>
    </row>
    <row r="77" spans="1:9" x14ac:dyDescent="0.25">
      <c r="A77">
        <v>76</v>
      </c>
      <c r="B77" t="s">
        <v>23</v>
      </c>
      <c r="C77">
        <v>3</v>
      </c>
      <c r="D77">
        <v>2</v>
      </c>
      <c r="E77" t="s">
        <v>45</v>
      </c>
      <c r="F77" t="s">
        <v>34</v>
      </c>
      <c r="G77">
        <v>2E-3</v>
      </c>
      <c r="H77">
        <v>8</v>
      </c>
      <c r="I77">
        <v>1</v>
      </c>
    </row>
    <row r="78" spans="1:9" x14ac:dyDescent="0.25">
      <c r="A78">
        <v>77</v>
      </c>
      <c r="B78" t="s">
        <v>23</v>
      </c>
      <c r="C78">
        <v>3</v>
      </c>
      <c r="D78">
        <v>2</v>
      </c>
      <c r="E78" t="s">
        <v>45</v>
      </c>
      <c r="F78" t="s">
        <v>34</v>
      </c>
      <c r="G78">
        <v>2E-3</v>
      </c>
      <c r="H78">
        <v>9</v>
      </c>
      <c r="I78">
        <v>2</v>
      </c>
    </row>
    <row r="79" spans="1:9" x14ac:dyDescent="0.25">
      <c r="A79">
        <v>78</v>
      </c>
      <c r="B79" t="s">
        <v>23</v>
      </c>
      <c r="C79">
        <v>3</v>
      </c>
      <c r="D79">
        <v>2</v>
      </c>
      <c r="E79" t="s">
        <v>45</v>
      </c>
      <c r="F79" t="s">
        <v>34</v>
      </c>
      <c r="G79">
        <v>2E-3</v>
      </c>
      <c r="H79">
        <v>8</v>
      </c>
      <c r="I79">
        <v>3</v>
      </c>
    </row>
    <row r="80" spans="1:9" x14ac:dyDescent="0.25">
      <c r="A80">
        <v>79</v>
      </c>
      <c r="B80" t="s">
        <v>23</v>
      </c>
      <c r="C80">
        <v>3</v>
      </c>
      <c r="D80">
        <v>3</v>
      </c>
      <c r="E80" t="s">
        <v>45</v>
      </c>
      <c r="F80" t="s">
        <v>34</v>
      </c>
      <c r="G80">
        <v>2E-3</v>
      </c>
      <c r="H80">
        <v>8</v>
      </c>
      <c r="I80">
        <v>1</v>
      </c>
    </row>
    <row r="81" spans="1:9" x14ac:dyDescent="0.25">
      <c r="A81">
        <v>80</v>
      </c>
      <c r="B81" t="s">
        <v>23</v>
      </c>
      <c r="C81">
        <v>3</v>
      </c>
      <c r="D81">
        <v>3</v>
      </c>
      <c r="E81" t="s">
        <v>45</v>
      </c>
      <c r="F81" t="s">
        <v>34</v>
      </c>
      <c r="G81">
        <v>2E-3</v>
      </c>
      <c r="H81">
        <v>8</v>
      </c>
      <c r="I81">
        <v>2</v>
      </c>
    </row>
    <row r="82" spans="1:9" x14ac:dyDescent="0.25">
      <c r="A82">
        <v>81</v>
      </c>
      <c r="B82" t="s">
        <v>23</v>
      </c>
      <c r="C82">
        <v>3</v>
      </c>
      <c r="D82">
        <v>3</v>
      </c>
      <c r="E82" t="s">
        <v>45</v>
      </c>
      <c r="F82" t="s">
        <v>34</v>
      </c>
      <c r="G82">
        <v>2E-3</v>
      </c>
      <c r="H82">
        <v>8</v>
      </c>
      <c r="I82">
        <v>3</v>
      </c>
    </row>
    <row r="83" spans="1:9" x14ac:dyDescent="0.25">
      <c r="A83">
        <v>82</v>
      </c>
      <c r="B83" t="s">
        <v>22</v>
      </c>
      <c r="C83">
        <v>1</v>
      </c>
      <c r="D83">
        <v>1</v>
      </c>
      <c r="E83" t="s">
        <v>46</v>
      </c>
      <c r="F83" t="s">
        <v>34</v>
      </c>
      <c r="G83">
        <v>0.02</v>
      </c>
      <c r="H83">
        <v>5</v>
      </c>
      <c r="I83">
        <v>1</v>
      </c>
    </row>
    <row r="84" spans="1:9" x14ac:dyDescent="0.25">
      <c r="A84">
        <v>83</v>
      </c>
      <c r="B84" t="s">
        <v>22</v>
      </c>
      <c r="C84">
        <v>1</v>
      </c>
      <c r="D84">
        <v>1</v>
      </c>
      <c r="E84" t="s">
        <v>46</v>
      </c>
      <c r="F84" t="s">
        <v>34</v>
      </c>
      <c r="G84">
        <v>0.02</v>
      </c>
      <c r="H84">
        <v>8</v>
      </c>
      <c r="I84">
        <v>2</v>
      </c>
    </row>
    <row r="85" spans="1:9" x14ac:dyDescent="0.25">
      <c r="A85">
        <v>84</v>
      </c>
      <c r="B85" t="s">
        <v>22</v>
      </c>
      <c r="C85">
        <v>1</v>
      </c>
      <c r="D85">
        <v>1</v>
      </c>
      <c r="E85" t="s">
        <v>46</v>
      </c>
      <c r="F85" t="s">
        <v>34</v>
      </c>
      <c r="G85">
        <v>0.02</v>
      </c>
      <c r="H85">
        <v>8</v>
      </c>
      <c r="I85">
        <v>3</v>
      </c>
    </row>
    <row r="86" spans="1:9" x14ac:dyDescent="0.25">
      <c r="A86">
        <v>85</v>
      </c>
      <c r="B86" t="s">
        <v>22</v>
      </c>
      <c r="C86">
        <v>1</v>
      </c>
      <c r="D86">
        <v>2</v>
      </c>
      <c r="E86" t="s">
        <v>46</v>
      </c>
      <c r="F86" t="s">
        <v>34</v>
      </c>
      <c r="G86">
        <v>0.02</v>
      </c>
      <c r="H86">
        <v>7</v>
      </c>
      <c r="I86">
        <v>1</v>
      </c>
    </row>
    <row r="87" spans="1:9" x14ac:dyDescent="0.25">
      <c r="A87">
        <v>86</v>
      </c>
      <c r="B87" t="s">
        <v>22</v>
      </c>
      <c r="C87">
        <v>1</v>
      </c>
      <c r="D87">
        <v>2</v>
      </c>
      <c r="E87" t="s">
        <v>46</v>
      </c>
      <c r="F87" t="s">
        <v>34</v>
      </c>
      <c r="G87">
        <v>0.02</v>
      </c>
      <c r="H87">
        <v>9</v>
      </c>
      <c r="I87">
        <v>2</v>
      </c>
    </row>
    <row r="88" spans="1:9" x14ac:dyDescent="0.25">
      <c r="A88">
        <v>87</v>
      </c>
      <c r="B88" t="s">
        <v>22</v>
      </c>
      <c r="C88">
        <v>1</v>
      </c>
      <c r="D88">
        <v>2</v>
      </c>
      <c r="E88" t="s">
        <v>46</v>
      </c>
      <c r="F88" t="s">
        <v>34</v>
      </c>
      <c r="G88">
        <v>0.02</v>
      </c>
      <c r="H88">
        <v>9</v>
      </c>
      <c r="I88">
        <v>3</v>
      </c>
    </row>
    <row r="89" spans="1:9" x14ac:dyDescent="0.25">
      <c r="A89">
        <v>88</v>
      </c>
      <c r="B89" t="s">
        <v>22</v>
      </c>
      <c r="C89">
        <v>1</v>
      </c>
      <c r="D89">
        <v>3</v>
      </c>
      <c r="E89" t="s">
        <v>46</v>
      </c>
      <c r="F89" t="s">
        <v>34</v>
      </c>
      <c r="G89">
        <v>0.02</v>
      </c>
      <c r="H89">
        <v>9</v>
      </c>
      <c r="I89">
        <v>1</v>
      </c>
    </row>
    <row r="90" spans="1:9" x14ac:dyDescent="0.25">
      <c r="A90">
        <v>89</v>
      </c>
      <c r="B90" t="s">
        <v>22</v>
      </c>
      <c r="C90">
        <v>1</v>
      </c>
      <c r="D90">
        <v>3</v>
      </c>
      <c r="E90" t="s">
        <v>46</v>
      </c>
      <c r="F90" t="s">
        <v>34</v>
      </c>
      <c r="G90">
        <v>0.02</v>
      </c>
      <c r="H90">
        <v>9</v>
      </c>
      <c r="I90">
        <v>2</v>
      </c>
    </row>
    <row r="91" spans="1:9" x14ac:dyDescent="0.25">
      <c r="A91">
        <v>90</v>
      </c>
      <c r="B91" t="s">
        <v>22</v>
      </c>
      <c r="C91">
        <v>1</v>
      </c>
      <c r="D91">
        <v>3</v>
      </c>
      <c r="E91" t="s">
        <v>46</v>
      </c>
      <c r="F91" t="s">
        <v>34</v>
      </c>
      <c r="G91">
        <v>0.02</v>
      </c>
      <c r="H91">
        <v>9</v>
      </c>
      <c r="I91">
        <v>3</v>
      </c>
    </row>
    <row r="92" spans="1:9" x14ac:dyDescent="0.25">
      <c r="A92">
        <v>91</v>
      </c>
      <c r="B92" t="s">
        <v>22</v>
      </c>
      <c r="C92">
        <v>2</v>
      </c>
      <c r="D92">
        <v>1</v>
      </c>
      <c r="E92" t="s">
        <v>46</v>
      </c>
      <c r="F92" t="s">
        <v>34</v>
      </c>
      <c r="G92">
        <v>0.02</v>
      </c>
      <c r="H92">
        <v>10</v>
      </c>
      <c r="I92">
        <v>1</v>
      </c>
    </row>
    <row r="93" spans="1:9" x14ac:dyDescent="0.25">
      <c r="A93">
        <v>92</v>
      </c>
      <c r="B93" t="s">
        <v>22</v>
      </c>
      <c r="C93">
        <v>2</v>
      </c>
      <c r="D93">
        <v>1</v>
      </c>
      <c r="E93" t="s">
        <v>46</v>
      </c>
      <c r="F93" t="s">
        <v>34</v>
      </c>
      <c r="G93">
        <v>0.02</v>
      </c>
      <c r="H93">
        <v>10</v>
      </c>
      <c r="I93">
        <v>2</v>
      </c>
    </row>
    <row r="94" spans="1:9" x14ac:dyDescent="0.25">
      <c r="A94">
        <v>93</v>
      </c>
      <c r="B94" t="s">
        <v>22</v>
      </c>
      <c r="C94">
        <v>2</v>
      </c>
      <c r="D94">
        <v>1</v>
      </c>
      <c r="E94" t="s">
        <v>46</v>
      </c>
      <c r="F94" t="s">
        <v>34</v>
      </c>
      <c r="G94">
        <v>0.02</v>
      </c>
      <c r="H94">
        <v>10</v>
      </c>
      <c r="I94">
        <v>3</v>
      </c>
    </row>
    <row r="95" spans="1:9" x14ac:dyDescent="0.25">
      <c r="A95">
        <v>94</v>
      </c>
      <c r="B95" t="s">
        <v>22</v>
      </c>
      <c r="C95">
        <v>2</v>
      </c>
      <c r="D95">
        <v>2</v>
      </c>
      <c r="E95" t="s">
        <v>46</v>
      </c>
      <c r="F95" t="s">
        <v>34</v>
      </c>
      <c r="G95">
        <v>0.02</v>
      </c>
      <c r="H95">
        <v>7</v>
      </c>
      <c r="I95">
        <v>1</v>
      </c>
    </row>
    <row r="96" spans="1:9" x14ac:dyDescent="0.25">
      <c r="A96">
        <v>95</v>
      </c>
      <c r="B96" t="s">
        <v>22</v>
      </c>
      <c r="C96">
        <v>2</v>
      </c>
      <c r="D96">
        <v>2</v>
      </c>
      <c r="E96" t="s">
        <v>46</v>
      </c>
      <c r="F96" t="s">
        <v>34</v>
      </c>
      <c r="G96">
        <v>0.02</v>
      </c>
      <c r="H96">
        <v>9</v>
      </c>
      <c r="I96">
        <v>2</v>
      </c>
    </row>
    <row r="97" spans="1:9" x14ac:dyDescent="0.25">
      <c r="A97">
        <v>96</v>
      </c>
      <c r="B97" t="s">
        <v>22</v>
      </c>
      <c r="C97">
        <v>2</v>
      </c>
      <c r="D97">
        <v>2</v>
      </c>
      <c r="E97" t="s">
        <v>46</v>
      </c>
      <c r="F97" t="s">
        <v>34</v>
      </c>
      <c r="G97">
        <v>0.02</v>
      </c>
      <c r="H97">
        <v>9</v>
      </c>
      <c r="I97">
        <v>3</v>
      </c>
    </row>
    <row r="98" spans="1:9" x14ac:dyDescent="0.25">
      <c r="A98">
        <v>97</v>
      </c>
      <c r="B98" t="s">
        <v>22</v>
      </c>
      <c r="C98">
        <v>2</v>
      </c>
      <c r="D98">
        <v>3</v>
      </c>
      <c r="E98" t="s">
        <v>46</v>
      </c>
      <c r="F98" t="s">
        <v>34</v>
      </c>
      <c r="G98">
        <v>0.02</v>
      </c>
      <c r="H98">
        <v>6</v>
      </c>
      <c r="I98">
        <v>1</v>
      </c>
    </row>
    <row r="99" spans="1:9" x14ac:dyDescent="0.25">
      <c r="A99">
        <v>98</v>
      </c>
      <c r="B99" t="s">
        <v>22</v>
      </c>
      <c r="C99">
        <v>2</v>
      </c>
      <c r="D99">
        <v>3</v>
      </c>
      <c r="E99" t="s">
        <v>46</v>
      </c>
      <c r="F99" t="s">
        <v>34</v>
      </c>
      <c r="G99">
        <v>0.02</v>
      </c>
      <c r="H99">
        <v>6</v>
      </c>
      <c r="I99">
        <v>2</v>
      </c>
    </row>
    <row r="100" spans="1:9" x14ac:dyDescent="0.25">
      <c r="A100">
        <v>99</v>
      </c>
      <c r="B100" t="s">
        <v>22</v>
      </c>
      <c r="C100">
        <v>2</v>
      </c>
      <c r="D100">
        <v>3</v>
      </c>
      <c r="E100" t="s">
        <v>46</v>
      </c>
      <c r="F100" t="s">
        <v>34</v>
      </c>
      <c r="G100">
        <v>0.02</v>
      </c>
      <c r="H100">
        <v>6</v>
      </c>
      <c r="I100">
        <v>3</v>
      </c>
    </row>
    <row r="101" spans="1:9" x14ac:dyDescent="0.25">
      <c r="A101">
        <v>100</v>
      </c>
      <c r="B101" t="s">
        <v>23</v>
      </c>
      <c r="C101">
        <v>3</v>
      </c>
      <c r="D101">
        <v>1</v>
      </c>
      <c r="E101" t="s">
        <v>47</v>
      </c>
      <c r="F101" t="s">
        <v>34</v>
      </c>
      <c r="G101">
        <v>0.02</v>
      </c>
      <c r="H101">
        <v>8</v>
      </c>
      <c r="I101">
        <v>1</v>
      </c>
    </row>
    <row r="102" spans="1:9" x14ac:dyDescent="0.25">
      <c r="A102">
        <v>101</v>
      </c>
      <c r="B102" t="s">
        <v>23</v>
      </c>
      <c r="C102">
        <v>3</v>
      </c>
      <c r="D102">
        <v>1</v>
      </c>
      <c r="E102" t="s">
        <v>47</v>
      </c>
      <c r="F102" t="s">
        <v>34</v>
      </c>
      <c r="G102">
        <v>0.02</v>
      </c>
      <c r="H102">
        <v>9</v>
      </c>
      <c r="I102">
        <v>2</v>
      </c>
    </row>
    <row r="103" spans="1:9" x14ac:dyDescent="0.25">
      <c r="A103">
        <v>102</v>
      </c>
      <c r="B103" t="s">
        <v>23</v>
      </c>
      <c r="C103">
        <v>3</v>
      </c>
      <c r="D103">
        <v>1</v>
      </c>
      <c r="E103" t="s">
        <v>47</v>
      </c>
      <c r="F103" t="s">
        <v>34</v>
      </c>
      <c r="G103">
        <v>0.02</v>
      </c>
      <c r="H103">
        <v>9</v>
      </c>
      <c r="I103">
        <v>3</v>
      </c>
    </row>
    <row r="104" spans="1:9" x14ac:dyDescent="0.25">
      <c r="A104">
        <v>103</v>
      </c>
      <c r="B104" t="s">
        <v>23</v>
      </c>
      <c r="C104">
        <v>3</v>
      </c>
      <c r="D104">
        <v>2</v>
      </c>
      <c r="E104" t="s">
        <v>47</v>
      </c>
      <c r="F104" t="s">
        <v>34</v>
      </c>
      <c r="G104">
        <v>0.02</v>
      </c>
      <c r="H104">
        <v>5</v>
      </c>
      <c r="I104">
        <v>1</v>
      </c>
    </row>
    <row r="105" spans="1:9" x14ac:dyDescent="0.25">
      <c r="A105">
        <v>104</v>
      </c>
      <c r="B105" t="s">
        <v>23</v>
      </c>
      <c r="C105">
        <v>3</v>
      </c>
      <c r="D105">
        <v>2</v>
      </c>
      <c r="E105" t="s">
        <v>47</v>
      </c>
      <c r="F105" t="s">
        <v>34</v>
      </c>
      <c r="G105">
        <v>0.02</v>
      </c>
      <c r="H105">
        <v>8</v>
      </c>
      <c r="I105">
        <v>2</v>
      </c>
    </row>
    <row r="106" spans="1:9" x14ac:dyDescent="0.25">
      <c r="A106">
        <v>105</v>
      </c>
      <c r="B106" t="s">
        <v>23</v>
      </c>
      <c r="C106">
        <v>3</v>
      </c>
      <c r="D106">
        <v>2</v>
      </c>
      <c r="E106" t="s">
        <v>47</v>
      </c>
      <c r="F106" t="s">
        <v>34</v>
      </c>
      <c r="G106">
        <v>0.02</v>
      </c>
      <c r="H106">
        <v>6</v>
      </c>
      <c r="I106">
        <v>3</v>
      </c>
    </row>
    <row r="107" spans="1:9" x14ac:dyDescent="0.25">
      <c r="A107">
        <v>106</v>
      </c>
      <c r="B107" t="s">
        <v>23</v>
      </c>
      <c r="C107">
        <v>3</v>
      </c>
      <c r="D107">
        <v>3</v>
      </c>
      <c r="E107" t="s">
        <v>47</v>
      </c>
      <c r="F107" t="s">
        <v>34</v>
      </c>
      <c r="G107">
        <v>0.02</v>
      </c>
      <c r="H107">
        <v>12</v>
      </c>
      <c r="I107">
        <v>1</v>
      </c>
    </row>
    <row r="108" spans="1:9" x14ac:dyDescent="0.25">
      <c r="A108">
        <v>107</v>
      </c>
      <c r="B108" t="s">
        <v>23</v>
      </c>
      <c r="C108">
        <v>3</v>
      </c>
      <c r="D108">
        <v>3</v>
      </c>
      <c r="E108" t="s">
        <v>47</v>
      </c>
      <c r="F108" t="s">
        <v>34</v>
      </c>
      <c r="G108">
        <v>0.02</v>
      </c>
      <c r="H108">
        <v>12</v>
      </c>
      <c r="I108">
        <v>2</v>
      </c>
    </row>
    <row r="109" spans="1:9" x14ac:dyDescent="0.25">
      <c r="A109">
        <v>108</v>
      </c>
      <c r="B109" t="s">
        <v>23</v>
      </c>
      <c r="C109">
        <v>3</v>
      </c>
      <c r="D109">
        <v>3</v>
      </c>
      <c r="E109" t="s">
        <v>47</v>
      </c>
      <c r="F109" t="s">
        <v>34</v>
      </c>
      <c r="G109">
        <v>0.02</v>
      </c>
      <c r="H109">
        <v>11</v>
      </c>
      <c r="I109">
        <v>3</v>
      </c>
    </row>
  </sheetData>
  <autoFilter ref="B1:I1">
    <sortState ref="B2:I109">
      <sortCondition ref="G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8"/>
  <sheetViews>
    <sheetView workbookViewId="0">
      <selection activeCell="A3" sqref="A3"/>
    </sheetView>
  </sheetViews>
  <sheetFormatPr baseColWidth="10" defaultRowHeight="15" x14ac:dyDescent="0.25"/>
  <cols>
    <col min="1" max="1" width="21" customWidth="1"/>
    <col min="2" max="2" width="18.85546875" customWidth="1"/>
    <col min="3" max="3" width="19.42578125" customWidth="1"/>
    <col min="4" max="4" width="21.85546875" customWidth="1"/>
    <col min="5" max="5" width="20.7109375" customWidth="1"/>
    <col min="6" max="18" width="23.85546875" customWidth="1"/>
    <col min="19" max="19" width="27.42578125" customWidth="1"/>
    <col min="20" max="20" width="26.42578125" customWidth="1"/>
    <col min="21" max="21" width="25" customWidth="1"/>
    <col min="22" max="22" width="22.42578125" customWidth="1"/>
    <col min="23" max="23" width="24.85546875" customWidth="1"/>
    <col min="24" max="24" width="23.85546875" customWidth="1"/>
    <col min="25" max="26" width="22.42578125" customWidth="1"/>
    <col min="27" max="27" width="28.28515625" customWidth="1"/>
    <col min="28" max="28" width="27.28515625" customWidth="1"/>
    <col min="29" max="29" width="27.42578125" customWidth="1"/>
    <col min="30" max="30" width="26.42578125" customWidth="1"/>
    <col min="31" max="32" width="11.140625" customWidth="1"/>
    <col min="33" max="33" width="12.5703125" bestFit="1" customWidth="1"/>
  </cols>
  <sheetData>
    <row r="3" spans="1:5" x14ac:dyDescent="0.25">
      <c r="A3" s="1" t="s">
        <v>16</v>
      </c>
      <c r="B3" t="s">
        <v>17</v>
      </c>
      <c r="C3" t="s">
        <v>18</v>
      </c>
      <c r="D3" t="s">
        <v>19</v>
      </c>
      <c r="E3" t="s">
        <v>20</v>
      </c>
    </row>
    <row r="4" spans="1:5" x14ac:dyDescent="0.25">
      <c r="A4" s="4" t="s">
        <v>8</v>
      </c>
      <c r="B4" s="3">
        <v>43</v>
      </c>
      <c r="C4" s="3">
        <v>49</v>
      </c>
      <c r="D4" s="3">
        <v>49</v>
      </c>
      <c r="E4" s="3">
        <v>44</v>
      </c>
    </row>
    <row r="5" spans="1:5" x14ac:dyDescent="0.25">
      <c r="A5" s="4" t="s">
        <v>11</v>
      </c>
      <c r="B5" s="3">
        <v>49</v>
      </c>
      <c r="C5" s="3">
        <v>50</v>
      </c>
      <c r="D5" s="3">
        <v>50</v>
      </c>
      <c r="E5" s="3">
        <v>51</v>
      </c>
    </row>
    <row r="6" spans="1:5" x14ac:dyDescent="0.25">
      <c r="A6" s="4" t="s">
        <v>12</v>
      </c>
      <c r="B6" s="3">
        <v>47</v>
      </c>
      <c r="C6" s="3">
        <v>51</v>
      </c>
      <c r="D6" s="3">
        <v>50</v>
      </c>
      <c r="E6" s="3">
        <v>51</v>
      </c>
    </row>
    <row r="7" spans="1:5" x14ac:dyDescent="0.25">
      <c r="A7" s="4" t="s">
        <v>14</v>
      </c>
      <c r="B7" s="3"/>
      <c r="C7" s="3"/>
      <c r="D7" s="3"/>
      <c r="E7" s="3"/>
    </row>
    <row r="8" spans="1:5" x14ac:dyDescent="0.25">
      <c r="A8" s="4" t="s">
        <v>15</v>
      </c>
      <c r="B8" s="3">
        <v>139</v>
      </c>
      <c r="C8" s="3">
        <v>150</v>
      </c>
      <c r="D8" s="3">
        <v>149</v>
      </c>
      <c r="E8" s="3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opLeftCell="J1" workbookViewId="0">
      <selection sqref="A1:J10"/>
    </sheetView>
  </sheetViews>
  <sheetFormatPr baseColWidth="10" defaultRowHeight="15" x14ac:dyDescent="0.25"/>
  <sheetData>
    <row r="1" spans="1:10" x14ac:dyDescent="0.25">
      <c r="A1" s="5" t="s">
        <v>9</v>
      </c>
      <c r="B1" s="5" t="s">
        <v>10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</row>
    <row r="2" spans="1:10" x14ac:dyDescent="0.25">
      <c r="A2" s="5" t="s">
        <v>8</v>
      </c>
      <c r="B2" s="5">
        <v>1</v>
      </c>
      <c r="C2" s="5">
        <f>7+9</f>
        <v>16</v>
      </c>
      <c r="D2" s="5">
        <f t="shared" ref="D2" si="0">7+9</f>
        <v>16</v>
      </c>
      <c r="E2" s="5">
        <f>10+8</f>
        <v>18</v>
      </c>
      <c r="F2" s="5">
        <f>5+10</f>
        <v>15</v>
      </c>
      <c r="G2" s="5">
        <v>4</v>
      </c>
      <c r="H2" s="5">
        <v>7</v>
      </c>
      <c r="I2" s="5">
        <v>7</v>
      </c>
      <c r="J2" s="5">
        <v>8</v>
      </c>
    </row>
    <row r="3" spans="1:10" x14ac:dyDescent="0.25">
      <c r="A3" s="5" t="s">
        <v>8</v>
      </c>
      <c r="B3" s="5">
        <v>2</v>
      </c>
      <c r="C3" s="5">
        <f>7+7</f>
        <v>14</v>
      </c>
      <c r="D3" s="5">
        <f>9+8</f>
        <v>17</v>
      </c>
      <c r="E3" s="5">
        <f>10+6</f>
        <v>16</v>
      </c>
      <c r="F3" s="5">
        <f>7+7</f>
        <v>14</v>
      </c>
      <c r="G3" s="5">
        <v>9</v>
      </c>
      <c r="H3" s="5">
        <v>8</v>
      </c>
      <c r="I3" s="5">
        <v>8</v>
      </c>
      <c r="J3" s="5">
        <v>5</v>
      </c>
    </row>
    <row r="4" spans="1:10" x14ac:dyDescent="0.25">
      <c r="A4" s="5" t="s">
        <v>8</v>
      </c>
      <c r="B4" s="5">
        <v>3</v>
      </c>
      <c r="C4" s="5">
        <f>7+6</f>
        <v>13</v>
      </c>
      <c r="D4" s="5">
        <f>9+7</f>
        <v>16</v>
      </c>
      <c r="E4" s="5">
        <f>7+8</f>
        <v>15</v>
      </c>
      <c r="F4" s="5">
        <f>9+6</f>
        <v>15</v>
      </c>
      <c r="G4" s="5">
        <v>7</v>
      </c>
      <c r="H4" s="5">
        <v>6</v>
      </c>
      <c r="I4" s="5">
        <v>8</v>
      </c>
      <c r="J4" s="5">
        <v>12</v>
      </c>
    </row>
    <row r="5" spans="1:10" x14ac:dyDescent="0.25">
      <c r="A5" s="5" t="s">
        <v>11</v>
      </c>
      <c r="B5" s="5">
        <v>1</v>
      </c>
      <c r="C5" s="5">
        <f>8+9</f>
        <v>17</v>
      </c>
      <c r="D5" s="5">
        <f>10+7</f>
        <v>17</v>
      </c>
      <c r="E5" s="5">
        <f>10+7</f>
        <v>17</v>
      </c>
      <c r="F5" s="5">
        <f>8+10</f>
        <v>18</v>
      </c>
      <c r="G5" s="5">
        <v>5</v>
      </c>
      <c r="H5" s="5">
        <v>7</v>
      </c>
      <c r="I5" s="5">
        <v>9</v>
      </c>
      <c r="J5" s="5">
        <v>9</v>
      </c>
    </row>
    <row r="6" spans="1:10" x14ac:dyDescent="0.25">
      <c r="A6" s="5" t="s">
        <v>11</v>
      </c>
      <c r="B6" s="5">
        <v>2</v>
      </c>
      <c r="C6" s="5">
        <f>7+8</f>
        <v>15</v>
      </c>
      <c r="D6" s="5">
        <f>9+9</f>
        <v>18</v>
      </c>
      <c r="E6" s="5">
        <f>10+7</f>
        <v>17</v>
      </c>
      <c r="F6" s="5">
        <f>9+9</f>
        <v>18</v>
      </c>
      <c r="G6" s="5">
        <v>10</v>
      </c>
      <c r="H6" s="5">
        <v>9</v>
      </c>
      <c r="I6" s="5">
        <v>9</v>
      </c>
      <c r="J6" s="5">
        <v>8</v>
      </c>
    </row>
    <row r="7" spans="1:10" x14ac:dyDescent="0.25">
      <c r="A7" s="5" t="s">
        <v>11</v>
      </c>
      <c r="B7" s="5">
        <v>3</v>
      </c>
      <c r="C7" s="5">
        <f>9+8</f>
        <v>17</v>
      </c>
      <c r="D7" s="5">
        <f>9+6</f>
        <v>15</v>
      </c>
      <c r="E7" s="5">
        <f>8+8</f>
        <v>16</v>
      </c>
      <c r="F7" s="5">
        <f>9+6</f>
        <v>15</v>
      </c>
      <c r="G7" s="5">
        <v>8</v>
      </c>
      <c r="H7" s="5">
        <v>8</v>
      </c>
      <c r="I7" s="5">
        <v>8</v>
      </c>
      <c r="J7" s="5">
        <v>12</v>
      </c>
    </row>
    <row r="8" spans="1:10" x14ac:dyDescent="0.25">
      <c r="A8" s="5" t="s">
        <v>12</v>
      </c>
      <c r="B8" s="5">
        <v>1</v>
      </c>
      <c r="C8" s="5">
        <f>7+9</f>
        <v>16</v>
      </c>
      <c r="D8" s="5">
        <f>10+7</f>
        <v>17</v>
      </c>
      <c r="E8" s="5">
        <f>10+7</f>
        <v>17</v>
      </c>
      <c r="F8" s="5">
        <f>8+10</f>
        <v>18</v>
      </c>
      <c r="G8" s="5">
        <v>5</v>
      </c>
      <c r="H8" s="5">
        <v>6</v>
      </c>
      <c r="I8" s="5">
        <v>8</v>
      </c>
      <c r="J8" s="5">
        <v>9</v>
      </c>
    </row>
    <row r="9" spans="1:10" x14ac:dyDescent="0.25">
      <c r="A9" s="5" t="s">
        <v>12</v>
      </c>
      <c r="B9" s="5">
        <v>2</v>
      </c>
      <c r="C9" s="5">
        <f>7+8</f>
        <v>15</v>
      </c>
      <c r="D9" s="5">
        <f>9+9</f>
        <v>18</v>
      </c>
      <c r="E9" s="5">
        <f>10+7</f>
        <v>17</v>
      </c>
      <c r="F9" s="5">
        <f>9+9</f>
        <v>18</v>
      </c>
      <c r="G9" s="5">
        <v>10</v>
      </c>
      <c r="H9" s="5">
        <v>10</v>
      </c>
      <c r="I9" s="5">
        <v>8</v>
      </c>
      <c r="J9" s="5">
        <v>6</v>
      </c>
    </row>
    <row r="10" spans="1:10" x14ac:dyDescent="0.25">
      <c r="A10" s="5" t="s">
        <v>12</v>
      </c>
      <c r="B10" s="5">
        <v>3</v>
      </c>
      <c r="C10" s="5">
        <f>8+8</f>
        <v>16</v>
      </c>
      <c r="D10" s="5">
        <f>9+7</f>
        <v>16</v>
      </c>
      <c r="E10" s="5">
        <f>8+8</f>
        <v>16</v>
      </c>
      <c r="F10" s="5">
        <f>9+6</f>
        <v>15</v>
      </c>
      <c r="G10" s="5">
        <v>8</v>
      </c>
      <c r="H10" s="5">
        <v>8</v>
      </c>
      <c r="I10" s="5">
        <v>8</v>
      </c>
      <c r="J10" s="5">
        <v>11</v>
      </c>
    </row>
    <row r="13" spans="1:10" x14ac:dyDescent="0.25">
      <c r="C13" s="5" t="s">
        <v>0</v>
      </c>
      <c r="D13" s="5" t="s">
        <v>1</v>
      </c>
      <c r="E13" s="5" t="s">
        <v>2</v>
      </c>
      <c r="F13" s="5" t="s">
        <v>3</v>
      </c>
      <c r="G13" s="5" t="s">
        <v>4</v>
      </c>
      <c r="H13" s="5" t="s">
        <v>5</v>
      </c>
      <c r="I13" s="5" t="s">
        <v>6</v>
      </c>
      <c r="J13" s="5" t="s">
        <v>7</v>
      </c>
    </row>
    <row r="14" spans="1:10" x14ac:dyDescent="0.25">
      <c r="B14" s="5" t="s">
        <v>8</v>
      </c>
      <c r="C14" s="5">
        <f>SUM(C2:C4)</f>
        <v>43</v>
      </c>
      <c r="D14" s="5">
        <f t="shared" ref="D14:J14" si="1">SUM(D2:D4)</f>
        <v>49</v>
      </c>
      <c r="E14" s="5">
        <f t="shared" si="1"/>
        <v>49</v>
      </c>
      <c r="F14" s="5">
        <f t="shared" si="1"/>
        <v>44</v>
      </c>
      <c r="G14" s="5">
        <f t="shared" si="1"/>
        <v>20</v>
      </c>
      <c r="H14" s="5">
        <f t="shared" si="1"/>
        <v>21</v>
      </c>
      <c r="I14" s="5">
        <f t="shared" si="1"/>
        <v>23</v>
      </c>
      <c r="J14" s="5">
        <f t="shared" si="1"/>
        <v>25</v>
      </c>
    </row>
    <row r="15" spans="1:10" x14ac:dyDescent="0.25">
      <c r="B15" s="5" t="s">
        <v>11</v>
      </c>
      <c r="C15" s="5">
        <f>SUM(C5:C7)</f>
        <v>49</v>
      </c>
      <c r="D15" s="5">
        <f t="shared" ref="D15:J15" si="2">SUM(D5:D7)</f>
        <v>50</v>
      </c>
      <c r="E15" s="5">
        <f t="shared" si="2"/>
        <v>50</v>
      </c>
      <c r="F15" s="5">
        <f t="shared" si="2"/>
        <v>51</v>
      </c>
      <c r="G15" s="5">
        <f t="shared" si="2"/>
        <v>23</v>
      </c>
      <c r="H15" s="5">
        <f t="shared" si="2"/>
        <v>24</v>
      </c>
      <c r="I15" s="5">
        <f t="shared" si="2"/>
        <v>26</v>
      </c>
      <c r="J15" s="5">
        <f t="shared" si="2"/>
        <v>29</v>
      </c>
    </row>
    <row r="16" spans="1:10" x14ac:dyDescent="0.25">
      <c r="B16" s="5" t="s">
        <v>12</v>
      </c>
      <c r="C16" s="5">
        <f>SUM(C8:C10)</f>
        <v>47</v>
      </c>
      <c r="D16" s="5">
        <f t="shared" ref="D16:J16" si="3">SUM(D8:D10)</f>
        <v>51</v>
      </c>
      <c r="E16" s="5">
        <f t="shared" si="3"/>
        <v>50</v>
      </c>
      <c r="F16" s="5">
        <f t="shared" si="3"/>
        <v>51</v>
      </c>
      <c r="G16" s="5">
        <f t="shared" si="3"/>
        <v>23</v>
      </c>
      <c r="H16" s="5">
        <f t="shared" si="3"/>
        <v>24</v>
      </c>
      <c r="I16" s="5">
        <f t="shared" si="3"/>
        <v>24</v>
      </c>
      <c r="J16" s="5">
        <f t="shared" si="3"/>
        <v>26</v>
      </c>
    </row>
    <row r="17" spans="2:10" x14ac:dyDescent="0.25">
      <c r="B17" s="5" t="s">
        <v>21</v>
      </c>
      <c r="C17" s="5">
        <v>60</v>
      </c>
      <c r="D17" s="5">
        <v>60</v>
      </c>
      <c r="E17" s="5">
        <v>60</v>
      </c>
      <c r="F17" s="5">
        <v>60</v>
      </c>
      <c r="G17" s="5">
        <v>30</v>
      </c>
      <c r="H17" s="5">
        <v>30</v>
      </c>
      <c r="I17" s="5">
        <v>30</v>
      </c>
      <c r="J17" s="5">
        <v>32</v>
      </c>
    </row>
    <row r="18" spans="2:10" x14ac:dyDescent="0.25">
      <c r="C18" s="9" t="s">
        <v>22</v>
      </c>
      <c r="D18" s="9"/>
      <c r="E18" s="9"/>
      <c r="F18" s="9"/>
      <c r="G18" s="9" t="s">
        <v>23</v>
      </c>
      <c r="H18" s="9"/>
      <c r="I18" s="9"/>
      <c r="J18" s="9"/>
    </row>
    <row r="19" spans="2:10" x14ac:dyDescent="0.25">
      <c r="C19" s="5" t="s">
        <v>24</v>
      </c>
      <c r="D19" s="5" t="s">
        <v>25</v>
      </c>
      <c r="E19" s="5" t="s">
        <v>26</v>
      </c>
      <c r="F19" s="5" t="s">
        <v>27</v>
      </c>
      <c r="G19" s="5" t="s">
        <v>24</v>
      </c>
      <c r="H19" s="5" t="s">
        <v>25</v>
      </c>
      <c r="I19" s="5" t="s">
        <v>26</v>
      </c>
      <c r="J19" s="5" t="s">
        <v>27</v>
      </c>
    </row>
    <row r="20" spans="2:10" x14ac:dyDescent="0.25">
      <c r="B20" s="5" t="s">
        <v>8</v>
      </c>
      <c r="C20" s="5">
        <f>C14/C$17</f>
        <v>0.71666666666666667</v>
      </c>
      <c r="D20" s="5">
        <f t="shared" ref="D20:J20" si="4">D14/D$17</f>
        <v>0.81666666666666665</v>
      </c>
      <c r="E20" s="5">
        <f t="shared" si="4"/>
        <v>0.81666666666666665</v>
      </c>
      <c r="F20" s="5">
        <f t="shared" si="4"/>
        <v>0.73333333333333328</v>
      </c>
      <c r="G20" s="5">
        <f t="shared" si="4"/>
        <v>0.66666666666666663</v>
      </c>
      <c r="H20" s="5">
        <f t="shared" si="4"/>
        <v>0.7</v>
      </c>
      <c r="I20" s="5">
        <f t="shared" si="4"/>
        <v>0.76666666666666672</v>
      </c>
      <c r="J20" s="5">
        <f t="shared" si="4"/>
        <v>0.78125</v>
      </c>
    </row>
    <row r="21" spans="2:10" x14ac:dyDescent="0.25">
      <c r="B21" s="5" t="s">
        <v>11</v>
      </c>
      <c r="C21" s="5">
        <f>C15/C$17</f>
        <v>0.81666666666666665</v>
      </c>
      <c r="D21" s="5">
        <f t="shared" ref="C21:J22" si="5">D15/D$17</f>
        <v>0.83333333333333337</v>
      </c>
      <c r="E21" s="5">
        <f t="shared" si="5"/>
        <v>0.83333333333333337</v>
      </c>
      <c r="F21" s="5">
        <f t="shared" si="5"/>
        <v>0.85</v>
      </c>
      <c r="G21" s="5">
        <f t="shared" si="5"/>
        <v>0.76666666666666672</v>
      </c>
      <c r="H21" s="5">
        <f t="shared" si="5"/>
        <v>0.8</v>
      </c>
      <c r="I21" s="5">
        <f t="shared" si="5"/>
        <v>0.8666666666666667</v>
      </c>
      <c r="J21" s="5">
        <f t="shared" si="5"/>
        <v>0.90625</v>
      </c>
    </row>
    <row r="22" spans="2:10" x14ac:dyDescent="0.25">
      <c r="B22" s="5" t="s">
        <v>12</v>
      </c>
      <c r="C22" s="5">
        <f t="shared" si="5"/>
        <v>0.78333333333333333</v>
      </c>
      <c r="D22" s="5">
        <f t="shared" si="5"/>
        <v>0.85</v>
      </c>
      <c r="E22" s="5">
        <f t="shared" si="5"/>
        <v>0.83333333333333337</v>
      </c>
      <c r="F22" s="5">
        <f t="shared" si="5"/>
        <v>0.85</v>
      </c>
      <c r="G22" s="5">
        <f t="shared" si="5"/>
        <v>0.76666666666666672</v>
      </c>
      <c r="H22" s="5">
        <f t="shared" si="5"/>
        <v>0.8</v>
      </c>
      <c r="I22" s="5">
        <f t="shared" si="5"/>
        <v>0.8</v>
      </c>
      <c r="J22" s="5">
        <f t="shared" si="5"/>
        <v>0.8125</v>
      </c>
    </row>
    <row r="23" spans="2:10" x14ac:dyDescent="0.25">
      <c r="B23" s="5" t="s">
        <v>21</v>
      </c>
      <c r="C23" s="5">
        <v>60</v>
      </c>
      <c r="D23" s="5">
        <v>60</v>
      </c>
      <c r="E23" s="5">
        <v>60</v>
      </c>
      <c r="F23" s="5">
        <v>60</v>
      </c>
      <c r="G23" s="5">
        <v>30</v>
      </c>
      <c r="H23" s="5">
        <v>30</v>
      </c>
      <c r="I23" s="5">
        <v>30</v>
      </c>
      <c r="J23" s="5">
        <v>32</v>
      </c>
    </row>
  </sheetData>
  <mergeCells count="2">
    <mergeCell ref="C18:F18"/>
    <mergeCell ref="G18:J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selection sqref="A1:C1"/>
    </sheetView>
  </sheetViews>
  <sheetFormatPr baseColWidth="10" defaultRowHeight="15" x14ac:dyDescent="0.25"/>
  <sheetData>
    <row r="1" spans="1:11" x14ac:dyDescent="0.25">
      <c r="A1" t="s">
        <v>28</v>
      </c>
      <c r="B1" s="5" t="s">
        <v>9</v>
      </c>
      <c r="C1" s="5" t="s">
        <v>10</v>
      </c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</row>
    <row r="2" spans="1:11" x14ac:dyDescent="0.25">
      <c r="B2" s="5" t="s">
        <v>8</v>
      </c>
      <c r="C2" s="5">
        <v>1</v>
      </c>
      <c r="D2" s="5">
        <f>7+9</f>
        <v>16</v>
      </c>
      <c r="E2" s="5">
        <f t="shared" ref="E2" si="0">7+9</f>
        <v>16</v>
      </c>
      <c r="F2" s="5">
        <f>10+8</f>
        <v>18</v>
      </c>
      <c r="G2" s="5">
        <f>5+10</f>
        <v>15</v>
      </c>
      <c r="H2" s="5">
        <v>4</v>
      </c>
      <c r="I2" s="5">
        <v>7</v>
      </c>
      <c r="J2" s="5">
        <v>7</v>
      </c>
      <c r="K2" s="5">
        <v>8</v>
      </c>
    </row>
    <row r="3" spans="1:11" x14ac:dyDescent="0.25">
      <c r="B3" s="5" t="s">
        <v>8</v>
      </c>
      <c r="C3" s="5">
        <v>2</v>
      </c>
      <c r="D3" s="5">
        <f>7+7</f>
        <v>14</v>
      </c>
      <c r="E3" s="5">
        <f>9+8</f>
        <v>17</v>
      </c>
      <c r="F3" s="5">
        <f>10+6</f>
        <v>16</v>
      </c>
      <c r="G3" s="5">
        <f>7+7</f>
        <v>14</v>
      </c>
      <c r="H3" s="5">
        <v>9</v>
      </c>
      <c r="I3" s="5">
        <v>8</v>
      </c>
      <c r="J3" s="5">
        <v>8</v>
      </c>
      <c r="K3" s="5">
        <v>5</v>
      </c>
    </row>
    <row r="4" spans="1:11" x14ac:dyDescent="0.25">
      <c r="B4" s="5" t="s">
        <v>8</v>
      </c>
      <c r="C4" s="5">
        <v>3</v>
      </c>
      <c r="D4" s="5">
        <f>7+6</f>
        <v>13</v>
      </c>
      <c r="E4" s="5">
        <f>9+7</f>
        <v>16</v>
      </c>
      <c r="F4" s="5">
        <f>7+8</f>
        <v>15</v>
      </c>
      <c r="G4" s="5">
        <f>9+6</f>
        <v>15</v>
      </c>
      <c r="H4" s="5">
        <v>7</v>
      </c>
      <c r="I4" s="5">
        <v>6</v>
      </c>
      <c r="J4" s="5">
        <v>8</v>
      </c>
      <c r="K4" s="5">
        <v>12</v>
      </c>
    </row>
    <row r="5" spans="1:11" x14ac:dyDescent="0.25">
      <c r="B5" s="5" t="s">
        <v>11</v>
      </c>
      <c r="C5" s="5">
        <v>1</v>
      </c>
      <c r="D5" s="5">
        <f>8+9</f>
        <v>17</v>
      </c>
      <c r="E5" s="5">
        <f>10+7</f>
        <v>17</v>
      </c>
      <c r="F5" s="5">
        <f>10+7</f>
        <v>17</v>
      </c>
      <c r="G5" s="5">
        <f>8+10</f>
        <v>18</v>
      </c>
      <c r="H5" s="5">
        <v>5</v>
      </c>
      <c r="I5" s="5">
        <v>7</v>
      </c>
      <c r="J5" s="5">
        <v>9</v>
      </c>
      <c r="K5" s="5">
        <v>9</v>
      </c>
    </row>
    <row r="6" spans="1:11" x14ac:dyDescent="0.25">
      <c r="B6" s="5" t="s">
        <v>11</v>
      </c>
      <c r="C6" s="5">
        <v>2</v>
      </c>
      <c r="D6" s="5">
        <f>7+8</f>
        <v>15</v>
      </c>
      <c r="E6" s="5">
        <f>9+9</f>
        <v>18</v>
      </c>
      <c r="F6" s="5">
        <f>10+7</f>
        <v>17</v>
      </c>
      <c r="G6" s="5">
        <f>9+9</f>
        <v>18</v>
      </c>
      <c r="H6" s="5">
        <v>10</v>
      </c>
      <c r="I6" s="5">
        <v>9</v>
      </c>
      <c r="J6" s="5">
        <v>9</v>
      </c>
      <c r="K6" s="5">
        <v>8</v>
      </c>
    </row>
    <row r="7" spans="1:11" x14ac:dyDescent="0.25">
      <c r="B7" s="5" t="s">
        <v>11</v>
      </c>
      <c r="C7" s="5">
        <v>3</v>
      </c>
      <c r="D7" s="5">
        <f>9+8</f>
        <v>17</v>
      </c>
      <c r="E7" s="5">
        <f>9+6</f>
        <v>15</v>
      </c>
      <c r="F7" s="5">
        <f>8+8</f>
        <v>16</v>
      </c>
      <c r="G7" s="5">
        <f>9+6</f>
        <v>15</v>
      </c>
      <c r="H7" s="5">
        <v>8</v>
      </c>
      <c r="I7" s="5">
        <v>8</v>
      </c>
      <c r="J7" s="5">
        <v>8</v>
      </c>
      <c r="K7" s="5">
        <v>12</v>
      </c>
    </row>
    <row r="8" spans="1:11" x14ac:dyDescent="0.25">
      <c r="B8" s="5" t="s">
        <v>12</v>
      </c>
      <c r="C8" s="5">
        <v>1</v>
      </c>
      <c r="D8" s="5">
        <f>7+9</f>
        <v>16</v>
      </c>
      <c r="E8" s="5">
        <f>10+7</f>
        <v>17</v>
      </c>
      <c r="F8" s="5">
        <f>10+7</f>
        <v>17</v>
      </c>
      <c r="G8" s="5">
        <f>8+10</f>
        <v>18</v>
      </c>
      <c r="H8" s="5">
        <v>5</v>
      </c>
      <c r="I8" s="5">
        <v>6</v>
      </c>
      <c r="J8" s="5">
        <v>8</v>
      </c>
      <c r="K8" s="5">
        <v>9</v>
      </c>
    </row>
    <row r="9" spans="1:11" x14ac:dyDescent="0.25">
      <c r="B9" s="5" t="s">
        <v>12</v>
      </c>
      <c r="C9" s="5">
        <v>2</v>
      </c>
      <c r="D9" s="5">
        <f>7+8</f>
        <v>15</v>
      </c>
      <c r="E9" s="5">
        <f>9+9</f>
        <v>18</v>
      </c>
      <c r="F9" s="5">
        <f>10+7</f>
        <v>17</v>
      </c>
      <c r="G9" s="5">
        <f>9+9</f>
        <v>18</v>
      </c>
      <c r="H9" s="5">
        <v>10</v>
      </c>
      <c r="I9" s="5">
        <v>10</v>
      </c>
      <c r="J9" s="5">
        <v>8</v>
      </c>
      <c r="K9" s="5">
        <v>6</v>
      </c>
    </row>
    <row r="10" spans="1:11" x14ac:dyDescent="0.25">
      <c r="B10" s="5" t="s">
        <v>12</v>
      </c>
      <c r="C10" s="5">
        <v>3</v>
      </c>
      <c r="D10" s="5">
        <f>8+8</f>
        <v>16</v>
      </c>
      <c r="E10" s="5">
        <f>9+7</f>
        <v>16</v>
      </c>
      <c r="F10" s="5">
        <f>8+8</f>
        <v>16</v>
      </c>
      <c r="G10" s="5">
        <f>9+6</f>
        <v>15</v>
      </c>
      <c r="H10" s="5">
        <v>8</v>
      </c>
      <c r="I10" s="5">
        <v>8</v>
      </c>
      <c r="J10" s="5">
        <v>8</v>
      </c>
      <c r="K10" s="5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40"/>
  <sheetViews>
    <sheetView topLeftCell="A14" workbookViewId="0">
      <selection activeCell="F14" sqref="F14"/>
    </sheetView>
  </sheetViews>
  <sheetFormatPr baseColWidth="10" defaultRowHeight="15" x14ac:dyDescent="0.25"/>
  <cols>
    <col min="1" max="1" width="21" bestFit="1" customWidth="1"/>
    <col min="2" max="2" width="23.85546875" bestFit="1" customWidth="1"/>
    <col min="3" max="3" width="20" bestFit="1" customWidth="1"/>
    <col min="4" max="4" width="21" bestFit="1" customWidth="1"/>
    <col min="5" max="5" width="20" customWidth="1"/>
    <col min="6" max="6" width="21" bestFit="1" customWidth="1"/>
    <col min="7" max="7" width="20" bestFit="1" customWidth="1"/>
    <col min="8" max="8" width="26" bestFit="1" customWidth="1"/>
    <col min="9" max="9" width="25" bestFit="1" customWidth="1"/>
  </cols>
  <sheetData>
    <row r="3" spans="1:9" x14ac:dyDescent="0.25">
      <c r="B3" s="1" t="s">
        <v>13</v>
      </c>
    </row>
    <row r="4" spans="1:9" x14ac:dyDescent="0.25">
      <c r="B4">
        <v>1</v>
      </c>
      <c r="D4">
        <v>2</v>
      </c>
      <c r="F4">
        <v>3</v>
      </c>
      <c r="H4" t="s">
        <v>37</v>
      </c>
      <c r="I4" t="s">
        <v>38</v>
      </c>
    </row>
    <row r="5" spans="1:9" x14ac:dyDescent="0.25">
      <c r="A5" s="1" t="s">
        <v>16</v>
      </c>
      <c r="B5" t="s">
        <v>36</v>
      </c>
      <c r="C5" t="s">
        <v>39</v>
      </c>
      <c r="D5" t="s">
        <v>36</v>
      </c>
      <c r="E5" t="s">
        <v>39</v>
      </c>
      <c r="F5" t="s">
        <v>36</v>
      </c>
      <c r="G5" t="s">
        <v>39</v>
      </c>
    </row>
    <row r="6" spans="1:9" x14ac:dyDescent="0.25">
      <c r="A6" s="4" t="s">
        <v>22</v>
      </c>
      <c r="B6" s="3">
        <v>7.708333333333333</v>
      </c>
      <c r="C6" s="3">
        <v>1.4884823513044836</v>
      </c>
      <c r="D6" s="3">
        <v>8.3333333333333339</v>
      </c>
      <c r="E6" s="3">
        <v>1.2038585308576906</v>
      </c>
      <c r="F6" s="3">
        <v>8.2916666666666661</v>
      </c>
      <c r="G6" s="3">
        <v>1.1601786469133191</v>
      </c>
      <c r="H6" s="3">
        <v>8.1111111111111107</v>
      </c>
      <c r="I6" s="3">
        <v>1.3060590711524482</v>
      </c>
    </row>
    <row r="7" spans="1:9" x14ac:dyDescent="0.25">
      <c r="A7" s="6">
        <v>0</v>
      </c>
      <c r="B7" s="3">
        <v>7.166666666666667</v>
      </c>
      <c r="C7" s="3">
        <v>0.98319208025017313</v>
      </c>
      <c r="D7" s="3">
        <v>8.1666666666666661</v>
      </c>
      <c r="E7" s="3">
        <v>0.75277265270907845</v>
      </c>
      <c r="F7" s="3">
        <v>7.833333333333333</v>
      </c>
      <c r="G7" s="3">
        <v>0.75277265270907845</v>
      </c>
      <c r="H7" s="3">
        <v>7.7222222222222223</v>
      </c>
      <c r="I7" s="3">
        <v>0.89479248698859803</v>
      </c>
    </row>
    <row r="8" spans="1:9" x14ac:dyDescent="0.25">
      <c r="A8" s="6">
        <v>2.0000000000000001E-4</v>
      </c>
      <c r="B8" s="3">
        <v>8.1666666666666661</v>
      </c>
      <c r="C8" s="3">
        <v>1.4719601443879733</v>
      </c>
      <c r="D8" s="3">
        <v>8.3333333333333339</v>
      </c>
      <c r="E8" s="3">
        <v>1.5055453054181609</v>
      </c>
      <c r="F8" s="3">
        <v>8.5</v>
      </c>
      <c r="G8" s="3">
        <v>1.2247448713915889</v>
      </c>
      <c r="H8" s="3">
        <v>8.3333333333333339</v>
      </c>
      <c r="I8" s="3">
        <v>1.3284223283101428</v>
      </c>
    </row>
    <row r="9" spans="1:9" x14ac:dyDescent="0.25">
      <c r="A9" s="6">
        <v>2E-3</v>
      </c>
      <c r="B9" s="3">
        <v>8.1666666666666661</v>
      </c>
      <c r="C9" s="3">
        <v>1.6020819787597209</v>
      </c>
      <c r="D9" s="3">
        <v>8.3333333333333339</v>
      </c>
      <c r="E9" s="3">
        <v>1.366260102127945</v>
      </c>
      <c r="F9" s="3">
        <v>8.3333333333333339</v>
      </c>
      <c r="G9" s="3">
        <v>1.366260102127945</v>
      </c>
      <c r="H9" s="3">
        <v>8.2777777777777786</v>
      </c>
      <c r="I9" s="3">
        <v>1.3636264606493249</v>
      </c>
    </row>
    <row r="10" spans="1:9" x14ac:dyDescent="0.25">
      <c r="A10" s="6">
        <v>0.02</v>
      </c>
      <c r="B10" s="3">
        <v>7.333333333333333</v>
      </c>
      <c r="C10" s="3">
        <v>1.8618986725025244</v>
      </c>
      <c r="D10" s="3">
        <v>8.5</v>
      </c>
      <c r="E10" s="3">
        <v>1.3784048752090221</v>
      </c>
      <c r="F10" s="3">
        <v>8.5</v>
      </c>
      <c r="G10" s="3">
        <v>1.3784048752090221</v>
      </c>
      <c r="H10" s="3">
        <v>8.1111111111111107</v>
      </c>
      <c r="I10" s="3">
        <v>1.5676467522593487</v>
      </c>
    </row>
    <row r="11" spans="1:9" x14ac:dyDescent="0.25">
      <c r="A11" s="4" t="s">
        <v>23</v>
      </c>
      <c r="B11" s="3">
        <v>7.416666666666667</v>
      </c>
      <c r="C11" s="3">
        <v>2.0207259421636894</v>
      </c>
      <c r="D11" s="3">
        <v>8.5</v>
      </c>
      <c r="E11" s="3">
        <v>1.6787441193290353</v>
      </c>
      <c r="F11" s="3">
        <v>8.0833333333333339</v>
      </c>
      <c r="G11" s="3">
        <v>1.7816403745544218</v>
      </c>
      <c r="H11" s="3">
        <v>8</v>
      </c>
      <c r="I11" s="3">
        <v>1.8361450300639575</v>
      </c>
    </row>
    <row r="12" spans="1:9" x14ac:dyDescent="0.25">
      <c r="A12" s="6">
        <v>0</v>
      </c>
      <c r="B12" s="3">
        <v>6.666666666666667</v>
      </c>
      <c r="C12" s="3">
        <v>2.5166114784235822</v>
      </c>
      <c r="D12" s="3">
        <v>7.666666666666667</v>
      </c>
      <c r="E12" s="3">
        <v>2.5166114784235822</v>
      </c>
      <c r="F12" s="3">
        <v>7.666666666666667</v>
      </c>
      <c r="G12" s="3">
        <v>2.5166114784235822</v>
      </c>
      <c r="H12" s="3">
        <v>7.333333333333333</v>
      </c>
      <c r="I12" s="3">
        <v>2.2360679774997898</v>
      </c>
    </row>
    <row r="13" spans="1:9" x14ac:dyDescent="0.25">
      <c r="A13" s="6">
        <v>2.0000000000000001E-4</v>
      </c>
      <c r="B13" s="3">
        <v>7</v>
      </c>
      <c r="C13" s="3">
        <v>1</v>
      </c>
      <c r="D13" s="3">
        <v>8</v>
      </c>
      <c r="E13" s="3">
        <v>1</v>
      </c>
      <c r="F13" s="3">
        <v>8</v>
      </c>
      <c r="G13" s="3">
        <v>2</v>
      </c>
      <c r="H13" s="3">
        <v>7.666666666666667</v>
      </c>
      <c r="I13" s="3">
        <v>1.3228756555322954</v>
      </c>
    </row>
    <row r="14" spans="1:9" x14ac:dyDescent="0.25">
      <c r="A14" s="6">
        <v>2E-3</v>
      </c>
      <c r="B14" s="3">
        <v>7.666666666666667</v>
      </c>
      <c r="C14" s="3">
        <v>0.57735026918962162</v>
      </c>
      <c r="D14" s="3">
        <v>8.6666666666666661</v>
      </c>
      <c r="E14" s="3">
        <v>0.57735026918962162</v>
      </c>
      <c r="F14" s="3">
        <v>8</v>
      </c>
      <c r="G14" s="3">
        <v>0</v>
      </c>
      <c r="H14" s="3">
        <v>8.1111111111111107</v>
      </c>
      <c r="I14" s="3">
        <v>0.60092521257733422</v>
      </c>
    </row>
    <row r="15" spans="1:9" x14ac:dyDescent="0.25">
      <c r="A15" s="6">
        <v>0.02</v>
      </c>
      <c r="B15" s="3">
        <v>8.3333333333333339</v>
      </c>
      <c r="C15" s="3">
        <v>3.5118845842842457</v>
      </c>
      <c r="D15" s="3">
        <v>9.6666666666666661</v>
      </c>
      <c r="E15" s="3">
        <v>2.0816659994661348</v>
      </c>
      <c r="F15" s="3">
        <v>8.6666666666666661</v>
      </c>
      <c r="G15" s="3">
        <v>2.5166114784235822</v>
      </c>
      <c r="H15" s="3">
        <v>8.8888888888888893</v>
      </c>
      <c r="I15" s="3">
        <v>2.4720661623652216</v>
      </c>
    </row>
    <row r="16" spans="1:9" x14ac:dyDescent="0.25">
      <c r="A16" s="4" t="s">
        <v>15</v>
      </c>
      <c r="B16" s="3">
        <v>7.6111111111111107</v>
      </c>
      <c r="C16" s="3">
        <v>1.6609425513033742</v>
      </c>
      <c r="D16" s="3">
        <v>8.3888888888888893</v>
      </c>
      <c r="E16" s="3">
        <v>1.3581032524975587</v>
      </c>
      <c r="F16" s="3">
        <v>8.2222222222222214</v>
      </c>
      <c r="G16" s="3">
        <v>1.375522988562347</v>
      </c>
      <c r="H16" s="3">
        <v>8.0740740740740744</v>
      </c>
      <c r="I16" s="3">
        <v>1.4958116210528347</v>
      </c>
    </row>
    <row r="17" spans="1:7" x14ac:dyDescent="0.25">
      <c r="B17" t="s">
        <v>8</v>
      </c>
      <c r="D17" t="s">
        <v>11</v>
      </c>
      <c r="F17" t="s">
        <v>12</v>
      </c>
    </row>
    <row r="18" spans="1:7" x14ac:dyDescent="0.25">
      <c r="A18" s="2" t="s">
        <v>16</v>
      </c>
      <c r="B18" s="2" t="s">
        <v>36</v>
      </c>
      <c r="C18" s="2" t="s">
        <v>39</v>
      </c>
      <c r="D18" s="2" t="s">
        <v>36</v>
      </c>
      <c r="E18" s="2" t="s">
        <v>39</v>
      </c>
      <c r="F18" s="2" t="s">
        <v>36</v>
      </c>
      <c r="G18" s="2" t="s">
        <v>39</v>
      </c>
    </row>
    <row r="19" spans="1:7" x14ac:dyDescent="0.25">
      <c r="A19" s="7" t="s">
        <v>22</v>
      </c>
      <c r="B19" s="8">
        <v>7.708333333333333</v>
      </c>
      <c r="C19" s="8">
        <v>1.4884823513044836</v>
      </c>
      <c r="D19" s="8">
        <v>8.3333333333333339</v>
      </c>
      <c r="E19" s="8">
        <v>1.2038585308576906</v>
      </c>
      <c r="F19" s="8">
        <v>8.2916666666666661</v>
      </c>
      <c r="G19" s="8">
        <v>1.1601786469133191</v>
      </c>
    </row>
    <row r="20" spans="1:7" x14ac:dyDescent="0.25">
      <c r="A20" s="6">
        <v>0</v>
      </c>
      <c r="B20" s="3">
        <v>7.166666666666667</v>
      </c>
      <c r="C20" s="3">
        <v>0.98319208025017313</v>
      </c>
      <c r="D20" s="3">
        <v>8.1666666666666661</v>
      </c>
      <c r="E20" s="3">
        <v>0.75277265270907845</v>
      </c>
      <c r="F20" s="3">
        <v>7.833333333333333</v>
      </c>
      <c r="G20" s="3">
        <v>0.75277265270907845</v>
      </c>
    </row>
    <row r="21" spans="1:7" x14ac:dyDescent="0.25">
      <c r="A21" s="6">
        <v>2.0000000000000001E-4</v>
      </c>
      <c r="B21" s="3">
        <v>8.1666666666666661</v>
      </c>
      <c r="C21" s="3">
        <v>1.4719601443879733</v>
      </c>
      <c r="D21" s="3">
        <v>8.3333333333333339</v>
      </c>
      <c r="E21" s="3">
        <v>1.5055453054181609</v>
      </c>
      <c r="F21" s="3">
        <v>8.5</v>
      </c>
      <c r="G21" s="3">
        <v>1.2247448713915889</v>
      </c>
    </row>
    <row r="22" spans="1:7" x14ac:dyDescent="0.25">
      <c r="A22" s="6">
        <v>2E-3</v>
      </c>
      <c r="B22" s="3">
        <v>8.1666666666666661</v>
      </c>
      <c r="C22" s="3">
        <v>1.6020819787597209</v>
      </c>
      <c r="D22" s="3">
        <v>8.3333333333333339</v>
      </c>
      <c r="E22" s="3">
        <v>1.366260102127945</v>
      </c>
      <c r="F22" s="3">
        <v>8.3333333333333339</v>
      </c>
      <c r="G22" s="3">
        <v>1.366260102127945</v>
      </c>
    </row>
    <row r="23" spans="1:7" x14ac:dyDescent="0.25">
      <c r="A23" s="6">
        <v>0.02</v>
      </c>
      <c r="B23" s="3">
        <v>7.333333333333333</v>
      </c>
      <c r="C23" s="3">
        <v>1.8618986725025244</v>
      </c>
      <c r="D23" s="3">
        <v>8.5</v>
      </c>
      <c r="E23" s="3">
        <v>1.3784048752090221</v>
      </c>
      <c r="F23" s="3">
        <v>8.5</v>
      </c>
      <c r="G23" s="3">
        <v>1.3784048752090221</v>
      </c>
    </row>
    <row r="24" spans="1:7" x14ac:dyDescent="0.25">
      <c r="A24" s="7" t="s">
        <v>23</v>
      </c>
      <c r="B24" s="8">
        <v>7.416666666666667</v>
      </c>
      <c r="C24" s="8">
        <v>2.0207259421636894</v>
      </c>
      <c r="D24" s="8">
        <v>8.5</v>
      </c>
      <c r="E24" s="8">
        <v>1.6787441193290353</v>
      </c>
      <c r="F24" s="8">
        <v>8.0833333333333339</v>
      </c>
      <c r="G24" s="8">
        <v>1.7816403745544218</v>
      </c>
    </row>
    <row r="25" spans="1:7" x14ac:dyDescent="0.25">
      <c r="A25" s="6">
        <v>0</v>
      </c>
      <c r="B25" s="3">
        <v>6.666666666666667</v>
      </c>
      <c r="C25" s="3">
        <v>2.5166114784235822</v>
      </c>
      <c r="D25" s="3">
        <v>7.666666666666667</v>
      </c>
      <c r="E25" s="3">
        <v>2.5166114784235822</v>
      </c>
      <c r="F25" s="3">
        <v>7.666666666666667</v>
      </c>
      <c r="G25" s="3">
        <v>2.5166114784235822</v>
      </c>
    </row>
    <row r="26" spans="1:7" x14ac:dyDescent="0.25">
      <c r="A26" s="6">
        <v>2.0000000000000001E-4</v>
      </c>
      <c r="B26" s="3">
        <v>7</v>
      </c>
      <c r="C26" s="3">
        <v>1</v>
      </c>
      <c r="D26" s="3">
        <v>8</v>
      </c>
      <c r="E26" s="3">
        <v>1</v>
      </c>
      <c r="F26" s="3">
        <v>8</v>
      </c>
      <c r="G26" s="3">
        <v>2</v>
      </c>
    </row>
    <row r="27" spans="1:7" x14ac:dyDescent="0.25">
      <c r="A27" s="6">
        <v>2E-3</v>
      </c>
      <c r="B27" s="3">
        <v>7.666666666666667</v>
      </c>
      <c r="C27" s="3">
        <v>0.57735026918962162</v>
      </c>
      <c r="D27" s="3">
        <v>8.6666666666666661</v>
      </c>
      <c r="E27" s="3">
        <v>0.57735026918962162</v>
      </c>
      <c r="F27" s="3">
        <v>8</v>
      </c>
      <c r="G27" s="3">
        <v>0</v>
      </c>
    </row>
    <row r="28" spans="1:7" x14ac:dyDescent="0.25">
      <c r="A28" s="6">
        <v>0.02</v>
      </c>
      <c r="B28" s="3">
        <v>8.3333333333333339</v>
      </c>
      <c r="C28" s="3">
        <v>3.5118845842842457</v>
      </c>
      <c r="D28" s="3">
        <v>9.6666666666666661</v>
      </c>
      <c r="E28" s="3">
        <v>2.0816659994661348</v>
      </c>
      <c r="F28" s="3">
        <v>8.6666666666666661</v>
      </c>
      <c r="G28" s="3">
        <v>2.5166114784235822</v>
      </c>
    </row>
    <row r="32" spans="1:7" x14ac:dyDescent="0.25">
      <c r="B32" s="2"/>
      <c r="C32" t="s">
        <v>8</v>
      </c>
      <c r="D32" t="s">
        <v>11</v>
      </c>
      <c r="E32" t="s">
        <v>12</v>
      </c>
    </row>
    <row r="33" spans="1:5" x14ac:dyDescent="0.25">
      <c r="A33" s="10" t="s">
        <v>22</v>
      </c>
      <c r="B33" s="6">
        <v>0</v>
      </c>
      <c r="C33" s="3">
        <v>7.166666666666667</v>
      </c>
      <c r="D33" s="3">
        <v>8.1666666666666661</v>
      </c>
      <c r="E33" s="3">
        <v>7.833333333333333</v>
      </c>
    </row>
    <row r="34" spans="1:5" x14ac:dyDescent="0.25">
      <c r="A34" s="10"/>
      <c r="B34" s="6">
        <v>2.0000000000000001E-4</v>
      </c>
      <c r="C34" s="3">
        <v>8.1666666666666661</v>
      </c>
      <c r="D34" s="3">
        <v>8.3333333333333339</v>
      </c>
      <c r="E34" s="3">
        <v>8.5</v>
      </c>
    </row>
    <row r="35" spans="1:5" x14ac:dyDescent="0.25">
      <c r="A35" s="10"/>
      <c r="B35" s="6">
        <v>2E-3</v>
      </c>
      <c r="C35" s="3">
        <v>8.1666666666666661</v>
      </c>
      <c r="D35" s="3">
        <v>8.3333333333333339</v>
      </c>
      <c r="E35" s="3">
        <v>8.3333333333333339</v>
      </c>
    </row>
    <row r="36" spans="1:5" x14ac:dyDescent="0.25">
      <c r="A36" s="10"/>
      <c r="B36" s="6">
        <v>0.02</v>
      </c>
      <c r="C36" s="3">
        <v>7.333333333333333</v>
      </c>
      <c r="D36" s="3">
        <v>8.5</v>
      </c>
      <c r="E36" s="3">
        <v>8.5</v>
      </c>
    </row>
    <row r="37" spans="1:5" x14ac:dyDescent="0.25">
      <c r="A37" s="10" t="s">
        <v>23</v>
      </c>
      <c r="B37" s="6">
        <v>0</v>
      </c>
      <c r="C37" s="3">
        <v>6.666666666666667</v>
      </c>
      <c r="D37" s="3">
        <v>7.666666666666667</v>
      </c>
      <c r="E37" s="3">
        <v>7.666666666666667</v>
      </c>
    </row>
    <row r="38" spans="1:5" x14ac:dyDescent="0.25">
      <c r="A38" s="10"/>
      <c r="B38" s="6">
        <v>2.0000000000000001E-4</v>
      </c>
      <c r="C38" s="3">
        <v>7</v>
      </c>
      <c r="D38" s="3">
        <v>8</v>
      </c>
      <c r="E38" s="3">
        <v>8</v>
      </c>
    </row>
    <row r="39" spans="1:5" x14ac:dyDescent="0.25">
      <c r="A39" s="10"/>
      <c r="B39" s="6">
        <v>2E-3</v>
      </c>
      <c r="C39" s="3">
        <v>7.666666666666667</v>
      </c>
      <c r="D39" s="3">
        <v>8.6666666666666661</v>
      </c>
      <c r="E39" s="3">
        <v>8</v>
      </c>
    </row>
    <row r="40" spans="1:5" x14ac:dyDescent="0.25">
      <c r="A40" s="10"/>
      <c r="B40" s="6">
        <v>0.02</v>
      </c>
      <c r="C40" s="3">
        <v>8.3333333333333339</v>
      </c>
      <c r="D40" s="3">
        <v>9.6666666666666661</v>
      </c>
      <c r="E40" s="3">
        <v>8.6666666666666661</v>
      </c>
    </row>
  </sheetData>
  <mergeCells count="2">
    <mergeCell ref="A33:A36"/>
    <mergeCell ref="A37:A40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Feuil4</vt:lpstr>
      <vt:lpstr>Feuil2</vt:lpstr>
      <vt:lpstr>Feuil1</vt:lpstr>
      <vt:lpstr>Feuil3</vt:lpstr>
      <vt:lpstr>Feuil5</vt:lpstr>
    </vt:vector>
  </TitlesOfParts>
  <Company>IRD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</dc:creator>
  <cp:lastModifiedBy>IRD</cp:lastModifiedBy>
  <dcterms:created xsi:type="dcterms:W3CDTF">2023-05-11T15:24:42Z</dcterms:created>
  <dcterms:modified xsi:type="dcterms:W3CDTF">2024-02-08T10:55:34Z</dcterms:modified>
</cp:coreProperties>
</file>