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e\ownCloud\A_manip_comportement_MIVEGEC 2018-19-20\20221017_Manip_gîtes_larvaires\KdrKIS\"/>
    </mc:Choice>
  </mc:AlternateContent>
  <bookViews>
    <workbookView xWindow="0" yWindow="3600" windowWidth="4545" windowHeight="915"/>
  </bookViews>
  <sheets>
    <sheet name="Feuil1" sheetId="1" r:id="rId1"/>
    <sheet name="Feuil2 (2)" sheetId="3" r:id="rId2"/>
    <sheet name="Feuil2" sheetId="2" r:id="rId3"/>
    <sheet name="Feuil4" sheetId="4" r:id="rId4"/>
  </sheets>
  <definedNames>
    <definedName name="_xlnm._FilterDatabase" localSheetId="0" hidden="1">Feuil1!$A$1:$T$90</definedName>
  </definedNames>
  <calcPr calcId="162913" calcCompleted="0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5" i="1"/>
  <c r="N7" i="1"/>
  <c r="N8" i="1"/>
  <c r="N9" i="1"/>
  <c r="N10" i="1"/>
  <c r="N11" i="1"/>
  <c r="N12" i="1"/>
  <c r="N14" i="1"/>
  <c r="N15" i="1"/>
  <c r="N16" i="1"/>
  <c r="N17" i="1"/>
  <c r="N21" i="1"/>
  <c r="N22" i="1"/>
  <c r="N23" i="1"/>
  <c r="N24" i="1"/>
  <c r="N25" i="1"/>
  <c r="N27" i="1"/>
  <c r="N28" i="1"/>
  <c r="N29" i="1"/>
  <c r="N30" i="1"/>
  <c r="N32" i="1"/>
  <c r="N34" i="1"/>
  <c r="N37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N76" i="1"/>
  <c r="N78" i="1"/>
  <c r="N79" i="1"/>
  <c r="N82" i="1"/>
  <c r="N83" i="1"/>
  <c r="N88" i="1"/>
  <c r="N89" i="1"/>
  <c r="N2" i="1"/>
  <c r="B11" i="4" l="1"/>
  <c r="B12" i="4"/>
  <c r="B13" i="4"/>
  <c r="B10" i="4"/>
  <c r="B19" i="2"/>
  <c r="C19" i="2"/>
  <c r="D19" i="2"/>
  <c r="B20" i="2"/>
  <c r="C20" i="2"/>
  <c r="D20" i="2"/>
  <c r="C18" i="2"/>
  <c r="D18" i="2"/>
  <c r="B18" i="2"/>
  <c r="Q3" i="1"/>
  <c r="Q5" i="1"/>
  <c r="Q7" i="1"/>
  <c r="Q8" i="1"/>
  <c r="Q9" i="1"/>
  <c r="Q10" i="1"/>
  <c r="Q11" i="1"/>
  <c r="Q12" i="1"/>
  <c r="Q14" i="1"/>
  <c r="Q15" i="1"/>
  <c r="Q16" i="1"/>
  <c r="Q17" i="1"/>
  <c r="Q21" i="1"/>
  <c r="Q22" i="1"/>
  <c r="Q23" i="1"/>
  <c r="Q24" i="1"/>
  <c r="Q25" i="1"/>
  <c r="Q27" i="1"/>
  <c r="Q28" i="1"/>
  <c r="Q29" i="1"/>
  <c r="Q30" i="1"/>
  <c r="Q32" i="1"/>
  <c r="Q34" i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60" i="1"/>
  <c r="Q61" i="1"/>
  <c r="Q62" i="1"/>
  <c r="Q63" i="1"/>
  <c r="Q64" i="1"/>
  <c r="Q65" i="1"/>
  <c r="Q67" i="1"/>
  <c r="Q68" i="1"/>
  <c r="Q69" i="1"/>
  <c r="Q70" i="1"/>
  <c r="Q71" i="1"/>
  <c r="Q72" i="1"/>
  <c r="Q73" i="1"/>
  <c r="Q74" i="1"/>
  <c r="Q76" i="1"/>
  <c r="Q78" i="1"/>
  <c r="Q79" i="1"/>
  <c r="Q82" i="1"/>
  <c r="Q83" i="1"/>
  <c r="Q88" i="1"/>
  <c r="Q89" i="1"/>
  <c r="Q2" i="1"/>
</calcChain>
</file>

<file path=xl/sharedStrings.xml><?xml version="1.0" encoding="utf-8"?>
<sst xmlns="http://schemas.openxmlformats.org/spreadsheetml/2006/main" count="855" uniqueCount="51">
  <si>
    <t>N°</t>
  </si>
  <si>
    <t>replicat</t>
  </si>
  <si>
    <t>date_gorgement</t>
  </si>
  <si>
    <t>age</t>
  </si>
  <si>
    <t>espece</t>
  </si>
  <si>
    <t>souche</t>
  </si>
  <si>
    <t>gorgee</t>
  </si>
  <si>
    <t>nom</t>
  </si>
  <si>
    <t>traitement_provenance</t>
  </si>
  <si>
    <t>concentration_permethrine_mg/ml</t>
  </si>
  <si>
    <t>testés</t>
  </si>
  <si>
    <t>ponte</t>
  </si>
  <si>
    <t>nb_oeuf_eau</t>
  </si>
  <si>
    <t>nb_oeuf_perm</t>
  </si>
  <si>
    <t>index</t>
  </si>
  <si>
    <t>choix_pondoir</t>
  </si>
  <si>
    <t>spermatheque</t>
  </si>
  <si>
    <t>commentaire</t>
  </si>
  <si>
    <t>Anopheles gambiae</t>
  </si>
  <si>
    <t>kdr</t>
  </si>
  <si>
    <t>oui</t>
  </si>
  <si>
    <t>eau_KDR</t>
  </si>
  <si>
    <t>eau</t>
  </si>
  <si>
    <t>perm</t>
  </si>
  <si>
    <t>NA</t>
  </si>
  <si>
    <t>non</t>
  </si>
  <si>
    <t>rose_KDR</t>
  </si>
  <si>
    <t>permethrine</t>
  </si>
  <si>
    <t>mort</t>
  </si>
  <si>
    <t>orange_KDR</t>
  </si>
  <si>
    <t>kis</t>
  </si>
  <si>
    <t>eau_KIS</t>
  </si>
  <si>
    <t>disparue</t>
  </si>
  <si>
    <t>perdu</t>
  </si>
  <si>
    <t>Étiquettes de lignes</t>
  </si>
  <si>
    <t>Total général</t>
  </si>
  <si>
    <t>Nombre de ponte</t>
  </si>
  <si>
    <t>Étiquettes de colonnes</t>
  </si>
  <si>
    <t>n'ont pas pondu</t>
  </si>
  <si>
    <t>Proportion</t>
  </si>
  <si>
    <t>Ecart type de proportion</t>
  </si>
  <si>
    <t>Nombre de choix_pondoir</t>
  </si>
  <si>
    <t>Effectif total testé</t>
  </si>
  <si>
    <t>Effectif ayant pondu</t>
  </si>
  <si>
    <t>Effectif n’ayant pas pondu</t>
  </si>
  <si>
    <t>Eau_KIS</t>
  </si>
  <si>
    <t>Eau_KDR</t>
  </si>
  <si>
    <t>Rose_KDR</t>
  </si>
  <si>
    <t>Orange_KDR</t>
  </si>
  <si>
    <t>ponte_1</t>
  </si>
  <si>
    <t>nbr_oeufs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</si>
</sst>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0" borderId="1" xfId="0" pivotButton="1" applyBorder="1"/>
  </cellXfs>
  <cellStyles count="1"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Feuil2!$A$28</c:f>
              <c:strCache>
                <c:ptCount val="1"/>
                <c:pt idx="0">
                  <c:v>eau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Feuil2!$B$27:$D$27</c:f>
              <c:numCache>
                <c:formatCode>General</c:formatCode>
                <c:ptCount val="3"/>
                <c:pt idx="0">
                  <c:v>0</c:v>
                </c:pt>
                <c:pt idx="1">
                  <c:v>2.0000000000000001E-4</c:v>
                </c:pt>
                <c:pt idx="2">
                  <c:v>2E-3</c:v>
                </c:pt>
              </c:numCache>
            </c:numRef>
          </c:cat>
          <c:val>
            <c:numRef>
              <c:f>Feuil2!$B$28:$D$28</c:f>
              <c:numCache>
                <c:formatCode>General</c:formatCode>
                <c:ptCount val="3"/>
                <c:pt idx="0">
                  <c:v>0.26829268292682928</c:v>
                </c:pt>
                <c:pt idx="1">
                  <c:v>0.375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E-4C9F-8CD6-411EC11CEABD}"/>
            </c:ext>
          </c:extLst>
        </c:ser>
        <c:ser>
          <c:idx val="1"/>
          <c:order val="1"/>
          <c:tx>
            <c:strRef>
              <c:f>Feuil2!$A$29</c:f>
              <c:strCache>
                <c:ptCount val="1"/>
                <c:pt idx="0">
                  <c:v>perm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Feuil2!$B$27:$D$27</c:f>
              <c:numCache>
                <c:formatCode>General</c:formatCode>
                <c:ptCount val="3"/>
                <c:pt idx="0">
                  <c:v>0</c:v>
                </c:pt>
                <c:pt idx="1">
                  <c:v>2.0000000000000001E-4</c:v>
                </c:pt>
                <c:pt idx="2">
                  <c:v>2E-3</c:v>
                </c:pt>
              </c:numCache>
            </c:numRef>
          </c:cat>
          <c:val>
            <c:numRef>
              <c:f>Feuil2!$B$29:$D$29</c:f>
              <c:numCache>
                <c:formatCode>General</c:formatCode>
                <c:ptCount val="3"/>
                <c:pt idx="0">
                  <c:v>0.3902439024390244</c:v>
                </c:pt>
                <c:pt idx="1">
                  <c:v>0.54166666666666663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E-4C9F-8CD6-411EC11CEABD}"/>
            </c:ext>
          </c:extLst>
        </c:ser>
        <c:ser>
          <c:idx val="2"/>
          <c:order val="2"/>
          <c:tx>
            <c:strRef>
              <c:f>Feuil2!$A$30</c:f>
              <c:strCache>
                <c:ptCount val="1"/>
                <c:pt idx="0">
                  <c:v>n'ont pas pondu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Feuil2!$B$27:$D$27</c:f>
              <c:numCache>
                <c:formatCode>General</c:formatCode>
                <c:ptCount val="3"/>
                <c:pt idx="0">
                  <c:v>0</c:v>
                </c:pt>
                <c:pt idx="1">
                  <c:v>2.0000000000000001E-4</c:v>
                </c:pt>
                <c:pt idx="2">
                  <c:v>2E-3</c:v>
                </c:pt>
              </c:numCache>
            </c:numRef>
          </c:cat>
          <c:val>
            <c:numRef>
              <c:f>Feuil2!$B$30:$D$30</c:f>
              <c:numCache>
                <c:formatCode>General</c:formatCode>
                <c:ptCount val="3"/>
                <c:pt idx="0">
                  <c:v>0.34146341463414637</c:v>
                </c:pt>
                <c:pt idx="1">
                  <c:v>8.3333333333333329E-2</c:v>
                </c:pt>
                <c:pt idx="2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8E-4C9F-8CD6-411EC11C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81184"/>
        <c:axId val="495281512"/>
      </c:barChart>
      <c:catAx>
        <c:axId val="49528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Origine</a:t>
                </a:r>
                <a:r>
                  <a:rPr lang="fr-FR" baseline="0"/>
                  <a:t> des individus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281512"/>
        <c:crosses val="autoZero"/>
        <c:auto val="1"/>
        <c:lblAlgn val="ctr"/>
        <c:lblOffset val="100"/>
        <c:noMultiLvlLbl val="0"/>
      </c:catAx>
      <c:valAx>
        <c:axId val="495281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Proportion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2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Feuil4!$B$9</c:f>
              <c:strCache>
                <c:ptCount val="1"/>
                <c:pt idx="0">
                  <c:v>Effectif ayant pondu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Feuil4!$A$10:$A$13</c:f>
              <c:strCache>
                <c:ptCount val="4"/>
                <c:pt idx="0">
                  <c:v>Eau_KIS</c:v>
                </c:pt>
                <c:pt idx="1">
                  <c:v>Eau_KDR</c:v>
                </c:pt>
                <c:pt idx="2">
                  <c:v>Rose_KDR</c:v>
                </c:pt>
                <c:pt idx="3">
                  <c:v>Orange_KDR</c:v>
                </c:pt>
              </c:strCache>
            </c:strRef>
          </c:cat>
          <c:val>
            <c:numRef>
              <c:f>Feuil4!$B$10:$B$13</c:f>
              <c:numCache>
                <c:formatCode>General</c:formatCode>
                <c:ptCount val="4"/>
                <c:pt idx="0">
                  <c:v>0.66666666666666663</c:v>
                </c:pt>
                <c:pt idx="1">
                  <c:v>0.65217391304347827</c:v>
                </c:pt>
                <c:pt idx="2">
                  <c:v>0.91666666666666663</c:v>
                </c:pt>
                <c:pt idx="3">
                  <c:v>0.70833333333333337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1-40E8-A114-EB4A21C2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315664"/>
        <c:axId val="568315992"/>
      </c:barChart>
      <c:catAx>
        <c:axId val="56831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8315992"/>
        <c:crosses val="autoZero"/>
        <c:auto val="1"/>
        <c:lblAlgn val="ctr"/>
        <c:lblOffset val="100"/>
        <c:noMultiLvlLbl val="0"/>
      </c:catAx>
      <c:valAx>
        <c:axId val="56831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83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16</xdr:row>
      <xdr:rowOff>176211</xdr:rowOff>
    </xdr:from>
    <xdr:to>
      <xdr:col>15</xdr:col>
      <xdr:colOff>200025</xdr:colOff>
      <xdr:row>34</xdr:row>
      <xdr:rowOff>180974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12</xdr:row>
      <xdr:rowOff>104775</xdr:rowOff>
    </xdr:from>
    <xdr:to>
      <xdr:col>10</xdr:col>
      <xdr:colOff>647700</xdr:colOff>
      <xdr:row>26</xdr:row>
      <xdr:rowOff>180975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RD" refreshedDate="45049.442078009262" createdVersion="6" refreshedVersion="6" minRefreshableVersion="3" recordCount="90">
  <cacheSource type="worksheet">
    <worksheetSource ref="A1:T1048576" sheet="Feuil1"/>
  </cacheSource>
  <cacheFields count="18">
    <cacheField name="N°" numFmtId="0">
      <sharedItems containsString="0" containsBlank="1" containsNumber="1" containsInteger="1" minValue="1" maxValue="89"/>
    </cacheField>
    <cacheField name="replicat" numFmtId="0">
      <sharedItems containsString="0" containsBlank="1" containsNumber="1" containsInteger="1" minValue="4" maxValue="6"/>
    </cacheField>
    <cacheField name="date_gorgement" numFmtId="0">
      <sharedItems containsDate="1" containsString="0" containsBlank="1" containsMixedTypes="1" minDate="2023-02-22T00:00:00" maxDate="1900-01-10T17:50:04"/>
    </cacheField>
    <cacheField name="age" numFmtId="0">
      <sharedItems containsNonDate="0" containsString="0" containsBlank="1"/>
    </cacheField>
    <cacheField name="espece" numFmtId="0">
      <sharedItems containsBlank="1"/>
    </cacheField>
    <cacheField name="souche" numFmtId="0">
      <sharedItems containsBlank="1"/>
    </cacheField>
    <cacheField name="gorgee" numFmtId="0">
      <sharedItems containsBlank="1"/>
    </cacheField>
    <cacheField name="nom" numFmtId="0">
      <sharedItems containsBlank="1"/>
    </cacheField>
    <cacheField name="traitement_provenance" numFmtId="0">
      <sharedItems containsBlank="1"/>
    </cacheField>
    <cacheField name="concentration_permethrine_mg/ml" numFmtId="0">
      <sharedItems containsString="0" containsBlank="1" containsNumber="1" minValue="0" maxValue="2E-3" count="4">
        <n v="0"/>
        <n v="2.0000000000000001E-4"/>
        <n v="2E-3"/>
        <m/>
      </sharedItems>
    </cacheField>
    <cacheField name="testés" numFmtId="0">
      <sharedItems containsBlank="1" count="2">
        <s v="oui"/>
        <m/>
      </sharedItems>
    </cacheField>
    <cacheField name="ponte" numFmtId="0">
      <sharedItems containsBlank="1"/>
    </cacheField>
    <cacheField name="nb_oeuf_eau" numFmtId="0">
      <sharedItems containsString="0" containsBlank="1" containsNumber="1" containsInteger="1" minValue="0" maxValue="140"/>
    </cacheField>
    <cacheField name="nb_oeuf_perm" numFmtId="0">
      <sharedItems containsString="0" containsBlank="1" containsNumber="1" containsInteger="1" minValue="0" maxValue="130"/>
    </cacheField>
    <cacheField name="index" numFmtId="0">
      <sharedItems containsBlank="1" containsMixedTypes="1" containsNumber="1" minValue="-1" maxValue="1"/>
    </cacheField>
    <cacheField name="choix_pondoir" numFmtId="0">
      <sharedItems containsBlank="1" count="5">
        <s v="perm"/>
        <s v="eau"/>
        <s v="NA"/>
        <m/>
        <s v="aucun" u="1"/>
      </sharedItems>
    </cacheField>
    <cacheField name="spermatheque" numFmtId="0">
      <sharedItems containsBlank="1" containsMixedTypes="1" containsNumber="1" containsInteger="1" minValue="0" maxValue="1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n v="1"/>
    <n v="4"/>
    <d v="2023-02-22T00:00:00"/>
    <m/>
    <s v="Anopheles gambiae"/>
    <s v="kdr"/>
    <s v="oui"/>
    <s v="eau_KDR"/>
    <s v="eau"/>
    <x v="0"/>
    <x v="0"/>
    <s v="oui"/>
    <n v="12"/>
    <n v="45"/>
    <n v="-0.57894736842105265"/>
    <x v="0"/>
    <s v="NA"/>
    <m/>
  </r>
  <r>
    <n v="2"/>
    <n v="4"/>
    <d v="2023-02-22T00:00:00"/>
    <m/>
    <s v="Anopheles gambiae"/>
    <s v="kdr"/>
    <s v="oui"/>
    <s v="eau_KDR"/>
    <s v="eau"/>
    <x v="0"/>
    <x v="0"/>
    <s v="oui"/>
    <n v="49"/>
    <n v="4"/>
    <n v="0.84905660377358494"/>
    <x v="1"/>
    <s v="NA"/>
    <m/>
  </r>
  <r>
    <n v="3"/>
    <n v="4"/>
    <d v="2023-02-22T00:00:00"/>
    <m/>
    <s v="Anopheles gambiae"/>
    <s v="kdr"/>
    <s v="oui"/>
    <s v="eau_KDR"/>
    <s v="eau"/>
    <x v="0"/>
    <x v="0"/>
    <s v="non"/>
    <n v="0"/>
    <n v="0"/>
    <s v="NA"/>
    <x v="2"/>
    <n v="1"/>
    <m/>
  </r>
  <r>
    <n v="4"/>
    <n v="4"/>
    <d v="2023-02-22T00:00:00"/>
    <m/>
    <s v="Anopheles gambiae"/>
    <s v="kdr"/>
    <s v="oui"/>
    <s v="eau_KDR"/>
    <s v="eau"/>
    <x v="0"/>
    <x v="0"/>
    <s v="oui"/>
    <n v="48"/>
    <n v="51"/>
    <n v="-3.0303030303030304E-2"/>
    <x v="0"/>
    <s v="NA"/>
    <m/>
  </r>
  <r>
    <n v="5"/>
    <n v="4"/>
    <d v="2023-02-22T00:00:00"/>
    <m/>
    <s v="Anopheles gambiae"/>
    <s v="kdr"/>
    <s v="oui"/>
    <s v="eau_KDR"/>
    <s v="eau"/>
    <x v="0"/>
    <x v="0"/>
    <s v="non"/>
    <n v="0"/>
    <n v="0"/>
    <s v="NA"/>
    <x v="2"/>
    <n v="1"/>
    <m/>
  </r>
  <r>
    <n v="6"/>
    <n v="4"/>
    <d v="2023-02-22T00:00:00"/>
    <m/>
    <s v="Anopheles gambiae"/>
    <s v="kdr"/>
    <s v="oui"/>
    <s v="eau_KDR"/>
    <s v="eau"/>
    <x v="0"/>
    <x v="0"/>
    <s v="oui"/>
    <n v="0"/>
    <n v="83"/>
    <n v="-1"/>
    <x v="0"/>
    <s v="NA"/>
    <m/>
  </r>
  <r>
    <n v="7"/>
    <n v="4"/>
    <d v="2023-02-22T00:00:00"/>
    <m/>
    <s v="Anopheles gambiae"/>
    <s v="kdr"/>
    <s v="oui"/>
    <s v="eau_KDR"/>
    <s v="eau"/>
    <x v="0"/>
    <x v="0"/>
    <s v="oui"/>
    <n v="25"/>
    <n v="22"/>
    <n v="6.3829787234042548E-2"/>
    <x v="1"/>
    <s v="NA"/>
    <m/>
  </r>
  <r>
    <n v="8"/>
    <n v="4"/>
    <d v="2023-02-22T00:00:00"/>
    <m/>
    <s v="Anopheles gambiae"/>
    <s v="kdr"/>
    <s v="oui"/>
    <s v="rose_KDR"/>
    <s v="permethrine"/>
    <x v="1"/>
    <x v="0"/>
    <s v="oui"/>
    <n v="14"/>
    <n v="44"/>
    <n v="-0.51724137931034486"/>
    <x v="0"/>
    <s v="NA"/>
    <m/>
  </r>
  <r>
    <n v="9"/>
    <n v="4"/>
    <d v="2023-02-22T00:00:00"/>
    <m/>
    <s v="Anopheles gambiae"/>
    <s v="kdr"/>
    <s v="oui"/>
    <s v="rose_KDR"/>
    <s v="permethrine"/>
    <x v="1"/>
    <x v="0"/>
    <s v="oui"/>
    <n v="50"/>
    <n v="0"/>
    <n v="1"/>
    <x v="1"/>
    <s v="NA"/>
    <m/>
  </r>
  <r>
    <n v="10"/>
    <n v="4"/>
    <d v="2023-02-22T00:00:00"/>
    <m/>
    <s v="Anopheles gambiae"/>
    <s v="kdr"/>
    <s v="oui"/>
    <s v="rose_KDR"/>
    <s v="permethrine"/>
    <x v="1"/>
    <x v="0"/>
    <s v="oui"/>
    <n v="17"/>
    <n v="49"/>
    <n v="-0.48484848484848486"/>
    <x v="0"/>
    <s v="NA"/>
    <m/>
  </r>
  <r>
    <n v="11"/>
    <n v="4"/>
    <d v="2023-02-22T00:00:00"/>
    <m/>
    <s v="Anopheles gambiae"/>
    <s v="kdr"/>
    <s v="oui"/>
    <s v="rose_KDR"/>
    <s v="permethrine"/>
    <x v="1"/>
    <x v="0"/>
    <s v="oui"/>
    <n v="21"/>
    <n v="45"/>
    <n v="-0.36363636363636365"/>
    <x v="0"/>
    <s v="NA"/>
    <m/>
  </r>
  <r>
    <n v="12"/>
    <n v="4"/>
    <d v="2023-02-22T00:00:00"/>
    <m/>
    <s v="Anopheles gambiae"/>
    <s v="kdr"/>
    <s v="oui"/>
    <s v="rose_KDR"/>
    <s v="permethrine"/>
    <x v="1"/>
    <x v="0"/>
    <s v="non"/>
    <n v="0"/>
    <n v="0"/>
    <s v="NA"/>
    <x v="2"/>
    <s v="NA"/>
    <s v="mort"/>
  </r>
  <r>
    <n v="13"/>
    <n v="4"/>
    <d v="2023-02-22T00:00:00"/>
    <m/>
    <s v="Anopheles gambiae"/>
    <s v="kdr"/>
    <s v="oui"/>
    <s v="rose_KDR"/>
    <s v="permethrine"/>
    <x v="1"/>
    <x v="0"/>
    <s v="oui"/>
    <n v="0"/>
    <n v="60"/>
    <n v="-1"/>
    <x v="0"/>
    <s v="NA"/>
    <m/>
  </r>
  <r>
    <n v="14"/>
    <n v="4"/>
    <d v="2023-02-22T00:00:00"/>
    <m/>
    <s v="Anopheles gambiae"/>
    <s v="kdr"/>
    <s v="oui"/>
    <s v="rose_KDR"/>
    <s v="permethrine"/>
    <x v="1"/>
    <x v="0"/>
    <s v="oui"/>
    <n v="0"/>
    <n v="120"/>
    <n v="-1"/>
    <x v="0"/>
    <s v="NA"/>
    <m/>
  </r>
  <r>
    <n v="15"/>
    <n v="4"/>
    <d v="2023-02-22T00:00:00"/>
    <m/>
    <s v="Anopheles gambiae"/>
    <s v="kdr"/>
    <s v="oui"/>
    <s v="rose_KDR"/>
    <s v="permethrine"/>
    <x v="1"/>
    <x v="0"/>
    <s v="oui"/>
    <n v="44"/>
    <n v="74"/>
    <n v="-0.25423728813559321"/>
    <x v="0"/>
    <s v="NA"/>
    <m/>
  </r>
  <r>
    <n v="16"/>
    <n v="4"/>
    <d v="2023-02-22T00:00:00"/>
    <m/>
    <s v="Anopheles gambiae"/>
    <s v="kdr"/>
    <s v="oui"/>
    <s v="orange_KDR"/>
    <s v="permethrine"/>
    <x v="2"/>
    <x v="0"/>
    <s v="oui"/>
    <n v="45"/>
    <n v="32"/>
    <n v="0.16883116883116883"/>
    <x v="1"/>
    <s v="NA"/>
    <m/>
  </r>
  <r>
    <n v="17"/>
    <n v="4"/>
    <d v="2023-02-22T00:00:00"/>
    <m/>
    <s v="Anopheles gambiae"/>
    <s v="kdr"/>
    <s v="oui"/>
    <s v="orange_KDR"/>
    <s v="permethrine"/>
    <x v="2"/>
    <x v="0"/>
    <s v="non"/>
    <n v="0"/>
    <n v="0"/>
    <s v="NA"/>
    <x v="2"/>
    <s v="NA"/>
    <s v="mort"/>
  </r>
  <r>
    <n v="18"/>
    <n v="4"/>
    <d v="2023-02-22T00:00:00"/>
    <m/>
    <s v="Anopheles gambiae"/>
    <s v="kdr"/>
    <s v="oui"/>
    <s v="orange_KDR"/>
    <s v="permethrine"/>
    <x v="2"/>
    <x v="0"/>
    <s v="non"/>
    <n v="0"/>
    <n v="0"/>
    <s v="NA"/>
    <x v="2"/>
    <s v="NA"/>
    <s v="mort"/>
  </r>
  <r>
    <n v="19"/>
    <n v="4"/>
    <d v="2023-02-22T00:00:00"/>
    <m/>
    <s v="Anopheles gambiae"/>
    <s v="kdr"/>
    <s v="oui"/>
    <s v="orange_KDR"/>
    <s v="permethrine"/>
    <x v="2"/>
    <x v="0"/>
    <s v="non"/>
    <n v="0"/>
    <n v="0"/>
    <s v="NA"/>
    <x v="2"/>
    <s v="NA"/>
    <s v="mort"/>
  </r>
  <r>
    <n v="20"/>
    <n v="4"/>
    <d v="2023-02-22T00:00:00"/>
    <m/>
    <s v="Anopheles gambiae"/>
    <s v="kdr"/>
    <s v="oui"/>
    <s v="orange_KDR"/>
    <s v="permethrine"/>
    <x v="2"/>
    <x v="0"/>
    <s v="oui"/>
    <n v="0"/>
    <n v="113"/>
    <n v="-1"/>
    <x v="0"/>
    <s v="NA"/>
    <m/>
  </r>
  <r>
    <n v="21"/>
    <n v="4"/>
    <d v="2023-02-22T00:00:00"/>
    <m/>
    <s v="Anopheles gambiae"/>
    <s v="kdr"/>
    <s v="oui"/>
    <s v="orange_KDR"/>
    <s v="permethrine"/>
    <x v="2"/>
    <x v="0"/>
    <s v="oui"/>
    <n v="0"/>
    <n v="60"/>
    <n v="-1"/>
    <x v="0"/>
    <s v="NA"/>
    <m/>
  </r>
  <r>
    <n v="22"/>
    <n v="4"/>
    <d v="2023-02-22T00:00:00"/>
    <m/>
    <s v="Anopheles gambiae"/>
    <s v="kdr"/>
    <s v="oui"/>
    <s v="orange_KDR"/>
    <s v="permethrine"/>
    <x v="2"/>
    <x v="0"/>
    <s v="oui"/>
    <n v="51"/>
    <n v="12"/>
    <n v="0.61904761904761907"/>
    <x v="1"/>
    <s v="NA"/>
    <s v="mort"/>
  </r>
  <r>
    <n v="23"/>
    <n v="4"/>
    <d v="2023-02-22T00:00:00"/>
    <m/>
    <s v="Anopheles gambiae"/>
    <s v="kdr"/>
    <s v="oui"/>
    <s v="orange_KDR"/>
    <s v="permethrine"/>
    <x v="2"/>
    <x v="0"/>
    <s v="oui"/>
    <n v="91"/>
    <n v="0"/>
    <n v="1"/>
    <x v="1"/>
    <s v="NA"/>
    <m/>
  </r>
  <r>
    <n v="24"/>
    <n v="4"/>
    <d v="2023-02-22T00:00:00"/>
    <m/>
    <s v="Anopheles gambiae"/>
    <s v="kis"/>
    <s v="oui"/>
    <s v="eau_KIS"/>
    <s v="eau"/>
    <x v="0"/>
    <x v="0"/>
    <s v="oui"/>
    <n v="0"/>
    <n v="37"/>
    <n v="-1"/>
    <x v="0"/>
    <s v="NA"/>
    <s v="disparue"/>
  </r>
  <r>
    <n v="25"/>
    <n v="4"/>
    <d v="2023-02-22T00:00:00"/>
    <m/>
    <s v="Anopheles gambiae"/>
    <s v="kis"/>
    <s v="oui"/>
    <s v="eau_KIS"/>
    <s v="eau"/>
    <x v="0"/>
    <x v="0"/>
    <s v="non"/>
    <n v="0"/>
    <n v="0"/>
    <s v="NA"/>
    <x v="2"/>
    <s v="NA"/>
    <s v="mort"/>
  </r>
  <r>
    <n v="26"/>
    <n v="4"/>
    <d v="2023-02-22T00:00:00"/>
    <m/>
    <s v="Anopheles gambiae"/>
    <s v="kis"/>
    <s v="oui"/>
    <s v="eau_KIS"/>
    <s v="eau"/>
    <x v="0"/>
    <x v="0"/>
    <s v="oui"/>
    <n v="0"/>
    <n v="73"/>
    <n v="-1"/>
    <x v="0"/>
    <s v="NA"/>
    <m/>
  </r>
  <r>
    <n v="27"/>
    <n v="4"/>
    <d v="2023-02-22T00:00:00"/>
    <m/>
    <s v="Anopheles gambiae"/>
    <s v="kis"/>
    <s v="oui"/>
    <s v="eau_KIS"/>
    <s v="eau"/>
    <x v="0"/>
    <x v="0"/>
    <s v="oui"/>
    <n v="7"/>
    <n v="66"/>
    <n v="-0.80821917808219179"/>
    <x v="0"/>
    <s v="NA"/>
    <m/>
  </r>
  <r>
    <n v="28"/>
    <n v="4"/>
    <d v="2023-02-22T00:00:00"/>
    <m/>
    <s v="Anopheles gambiae"/>
    <s v="kis"/>
    <s v="oui"/>
    <s v="eau_KIS"/>
    <s v="eau"/>
    <x v="0"/>
    <x v="0"/>
    <s v="oui"/>
    <n v="16"/>
    <n v="35"/>
    <n v="-0.37254901960784315"/>
    <x v="0"/>
    <s v="NA"/>
    <m/>
  </r>
  <r>
    <n v="29"/>
    <n v="4"/>
    <d v="2023-02-22T00:00:00"/>
    <m/>
    <s v="Anopheles gambiae"/>
    <s v="kis"/>
    <s v="oui"/>
    <s v="eau_KIS"/>
    <s v="eau"/>
    <x v="0"/>
    <x v="0"/>
    <s v="oui"/>
    <n v="140"/>
    <n v="0"/>
    <n v="1"/>
    <x v="1"/>
    <s v="NA"/>
    <m/>
  </r>
  <r>
    <n v="30"/>
    <n v="5"/>
    <d v="2023-04-05T00:00:00"/>
    <m/>
    <s v="Anopheles gambiae"/>
    <s v="kdr"/>
    <s v="oui"/>
    <s v="eau_KDR"/>
    <s v="eau"/>
    <x v="0"/>
    <x v="0"/>
    <s v="non"/>
    <n v="0"/>
    <n v="0"/>
    <s v="NA"/>
    <x v="2"/>
    <s v="NA"/>
    <s v="mort"/>
  </r>
  <r>
    <n v="31"/>
    <n v="5"/>
    <d v="2023-04-05T00:00:00"/>
    <m/>
    <s v="Anopheles gambiae"/>
    <s v="kdr"/>
    <s v="oui"/>
    <s v="eau_KDR"/>
    <s v="eau"/>
    <x v="0"/>
    <x v="0"/>
    <s v="oui"/>
    <n v="63"/>
    <n v="4"/>
    <n v="0.88059701492537312"/>
    <x v="1"/>
    <s v="NA"/>
    <m/>
  </r>
  <r>
    <n v="32"/>
    <n v="5"/>
    <d v="2023-04-05T00:00:00"/>
    <m/>
    <s v="Anopheles gambiae"/>
    <s v="kdr"/>
    <s v="oui"/>
    <s v="eau_KDR"/>
    <s v="eau"/>
    <x v="0"/>
    <x v="0"/>
    <s v="non"/>
    <n v="0"/>
    <n v="0"/>
    <s v="NA"/>
    <x v="2"/>
    <n v="0"/>
    <s v="mort"/>
  </r>
  <r>
    <n v="33"/>
    <n v="5"/>
    <d v="2023-04-05T00:00:00"/>
    <m/>
    <s v="Anopheles gambiae"/>
    <s v="kdr"/>
    <s v="oui"/>
    <s v="eau_KDR"/>
    <s v="eau"/>
    <x v="0"/>
    <x v="0"/>
    <s v="oui"/>
    <n v="0"/>
    <n v="127"/>
    <n v="-1"/>
    <x v="0"/>
    <s v="NA"/>
    <m/>
  </r>
  <r>
    <n v="34"/>
    <n v="5"/>
    <d v="2023-04-05T00:00:00"/>
    <m/>
    <s v="Anopheles gambiae"/>
    <s v="kdr"/>
    <s v="oui"/>
    <s v="eau_KDR"/>
    <s v="eau"/>
    <x v="0"/>
    <x v="0"/>
    <s v="non"/>
    <n v="0"/>
    <n v="0"/>
    <s v="NA"/>
    <x v="2"/>
    <n v="0"/>
    <m/>
  </r>
  <r>
    <n v="35"/>
    <n v="5"/>
    <d v="2023-04-05T00:00:00"/>
    <m/>
    <s v="Anopheles gambiae"/>
    <s v="kdr"/>
    <s v="oui"/>
    <s v="eau_KDR"/>
    <s v="eau"/>
    <x v="0"/>
    <x v="0"/>
    <s v="non"/>
    <n v="0"/>
    <n v="0"/>
    <s v="NA"/>
    <x v="2"/>
    <n v="0"/>
    <m/>
  </r>
  <r>
    <n v="36"/>
    <n v="5"/>
    <d v="2023-04-05T00:00:00"/>
    <m/>
    <s v="Anopheles gambiae"/>
    <s v="kdr"/>
    <s v="oui"/>
    <s v="eau_KDR"/>
    <s v="eau"/>
    <x v="0"/>
    <x v="0"/>
    <s v="oui"/>
    <n v="71"/>
    <n v="23"/>
    <n v="0.51063829787234039"/>
    <x v="1"/>
    <s v="NA"/>
    <m/>
  </r>
  <r>
    <n v="37"/>
    <n v="5"/>
    <d v="2023-04-05T00:00:00"/>
    <m/>
    <s v="Anopheles gambiae"/>
    <s v="kdr"/>
    <s v="oui"/>
    <s v="eau_KDR"/>
    <s v="eau"/>
    <x v="0"/>
    <x v="0"/>
    <s v="non"/>
    <n v="0"/>
    <n v="0"/>
    <s v="NA"/>
    <x v="2"/>
    <s v="NA"/>
    <s v="mort"/>
  </r>
  <r>
    <n v="38"/>
    <n v="5"/>
    <d v="2023-04-05T00:00:00"/>
    <m/>
    <s v="Anopheles gambiae"/>
    <s v="kdr"/>
    <s v="oui"/>
    <s v="rose_KDR"/>
    <s v="permethrine"/>
    <x v="1"/>
    <x v="0"/>
    <s v="oui"/>
    <n v="83"/>
    <n v="2"/>
    <n v="0.95294117647058818"/>
    <x v="1"/>
    <s v="NA"/>
    <m/>
  </r>
  <r>
    <n v="39"/>
    <n v="5"/>
    <d v="2023-04-05T00:00:00"/>
    <m/>
    <s v="Anopheles gambiae"/>
    <s v="kdr"/>
    <s v="oui"/>
    <s v="rose_KDR"/>
    <s v="permethrine"/>
    <x v="1"/>
    <x v="0"/>
    <s v="oui"/>
    <n v="29"/>
    <n v="32"/>
    <n v="-4.9180327868852458E-2"/>
    <x v="0"/>
    <s v="NA"/>
    <m/>
  </r>
  <r>
    <n v="40"/>
    <n v="5"/>
    <d v="2023-04-05T00:00:00"/>
    <m/>
    <s v="Anopheles gambiae"/>
    <s v="kdr"/>
    <s v="oui"/>
    <s v="rose_KDR"/>
    <s v="permethrine"/>
    <x v="1"/>
    <x v="0"/>
    <s v="oui"/>
    <n v="73"/>
    <n v="0"/>
    <n v="1"/>
    <x v="1"/>
    <s v="NA"/>
    <m/>
  </r>
  <r>
    <n v="41"/>
    <n v="5"/>
    <d v="2023-04-05T00:00:00"/>
    <m/>
    <s v="Anopheles gambiae"/>
    <s v="kdr"/>
    <s v="oui"/>
    <s v="rose_KDR"/>
    <s v="permethrine"/>
    <x v="1"/>
    <x v="0"/>
    <s v="oui"/>
    <n v="90"/>
    <n v="1"/>
    <n v="0.97802197802197799"/>
    <x v="1"/>
    <s v="NA"/>
    <m/>
  </r>
  <r>
    <n v="42"/>
    <n v="5"/>
    <d v="2023-04-05T00:00:00"/>
    <m/>
    <s v="Anopheles gambiae"/>
    <s v="kdr"/>
    <s v="oui"/>
    <s v="rose_KDR"/>
    <s v="permethrine"/>
    <x v="1"/>
    <x v="0"/>
    <s v="oui"/>
    <n v="0"/>
    <n v="70"/>
    <n v="-1"/>
    <x v="0"/>
    <s v="NA"/>
    <m/>
  </r>
  <r>
    <n v="43"/>
    <n v="5"/>
    <d v="2023-04-05T00:00:00"/>
    <m/>
    <s v="Anopheles gambiae"/>
    <s v="kdr"/>
    <s v="oui"/>
    <s v="rose_KDR"/>
    <s v="permethrine"/>
    <x v="1"/>
    <x v="0"/>
    <s v="oui"/>
    <n v="0"/>
    <n v="125"/>
    <n v="-1"/>
    <x v="0"/>
    <s v="NA"/>
    <m/>
  </r>
  <r>
    <n v="44"/>
    <n v="5"/>
    <d v="2023-04-05T00:00:00"/>
    <m/>
    <s v="Anopheles gambiae"/>
    <s v="kdr"/>
    <s v="oui"/>
    <s v="rose_KDR"/>
    <s v="permethrine"/>
    <x v="1"/>
    <x v="0"/>
    <s v="oui"/>
    <n v="0"/>
    <n v="85"/>
    <n v="-1"/>
    <x v="0"/>
    <s v="NA"/>
    <m/>
  </r>
  <r>
    <n v="45"/>
    <n v="5"/>
    <d v="2023-04-05T00:00:00"/>
    <m/>
    <s v="Anopheles gambiae"/>
    <s v="kdr"/>
    <s v="oui"/>
    <s v="rose_KDR"/>
    <s v="permethrine"/>
    <x v="1"/>
    <x v="0"/>
    <s v="oui"/>
    <n v="50"/>
    <n v="0"/>
    <n v="1"/>
    <x v="1"/>
    <s v="NA"/>
    <m/>
  </r>
  <r>
    <n v="46"/>
    <n v="5"/>
    <d v="2023-04-05T00:00:00"/>
    <m/>
    <s v="Anopheles gambiae"/>
    <s v="kdr"/>
    <s v="oui"/>
    <s v="orange_KDR"/>
    <s v="permethrine"/>
    <x v="2"/>
    <x v="0"/>
    <s v="oui"/>
    <n v="87"/>
    <n v="0"/>
    <n v="1"/>
    <x v="1"/>
    <s v="NA"/>
    <m/>
  </r>
  <r>
    <n v="47"/>
    <n v="5"/>
    <d v="2023-04-05T00:00:00"/>
    <m/>
    <s v="Anopheles gambiae"/>
    <s v="kdr"/>
    <s v="oui"/>
    <s v="orange_KDR"/>
    <s v="permethrine"/>
    <x v="2"/>
    <x v="0"/>
    <s v="oui"/>
    <n v="23"/>
    <n v="21"/>
    <n v="4.5454545454545456E-2"/>
    <x v="1"/>
    <s v="NA"/>
    <m/>
  </r>
  <r>
    <n v="48"/>
    <n v="5"/>
    <d v="2023-04-05T00:00:00"/>
    <m/>
    <s v="Anopheles gambiae"/>
    <s v="kdr"/>
    <s v="oui"/>
    <s v="orange_KDR"/>
    <s v="permethrine"/>
    <x v="2"/>
    <x v="0"/>
    <s v="oui"/>
    <n v="0"/>
    <n v="88"/>
    <n v="-1"/>
    <x v="0"/>
    <s v="NA"/>
    <m/>
  </r>
  <r>
    <n v="49"/>
    <n v="5"/>
    <d v="2023-04-05T00:00:00"/>
    <m/>
    <s v="Anopheles gambiae"/>
    <s v="kdr"/>
    <s v="oui"/>
    <s v="orange_KDR"/>
    <s v="permethrine"/>
    <x v="2"/>
    <x v="0"/>
    <s v="oui"/>
    <n v="94"/>
    <n v="0"/>
    <n v="1"/>
    <x v="1"/>
    <s v="NA"/>
    <m/>
  </r>
  <r>
    <n v="50"/>
    <n v="5"/>
    <d v="2023-04-05T00:00:00"/>
    <m/>
    <s v="Anopheles gambiae"/>
    <s v="kdr"/>
    <s v="oui"/>
    <s v="orange_KDR"/>
    <s v="permethrine"/>
    <x v="2"/>
    <x v="0"/>
    <s v="oui"/>
    <n v="8"/>
    <n v="9"/>
    <n v="-5.8823529411764705E-2"/>
    <x v="0"/>
    <s v="NA"/>
    <m/>
  </r>
  <r>
    <n v="51"/>
    <n v="5"/>
    <d v="2023-04-05T00:00:00"/>
    <m/>
    <s v="Anopheles gambiae"/>
    <s v="kdr"/>
    <s v="oui"/>
    <s v="orange_KDR"/>
    <s v="permethrine"/>
    <x v="2"/>
    <x v="0"/>
    <s v="oui"/>
    <n v="13"/>
    <n v="19"/>
    <n v="-0.1875"/>
    <x v="0"/>
    <s v="NA"/>
    <m/>
  </r>
  <r>
    <n v="52"/>
    <n v="5"/>
    <d v="2023-04-05T00:00:00"/>
    <m/>
    <s v="Anopheles gambiae"/>
    <s v="kdr"/>
    <s v="oui"/>
    <s v="orange_KDR"/>
    <s v="permethrine"/>
    <x v="2"/>
    <x v="0"/>
    <s v="oui"/>
    <n v="105"/>
    <n v="0"/>
    <n v="1"/>
    <x v="1"/>
    <s v="NA"/>
    <m/>
  </r>
  <r>
    <n v="53"/>
    <n v="5"/>
    <d v="2023-04-05T00:00:00"/>
    <m/>
    <s v="Anopheles gambiae"/>
    <s v="kdr"/>
    <s v="oui"/>
    <s v="orange_KDR"/>
    <s v="permethrine"/>
    <x v="2"/>
    <x v="0"/>
    <s v="oui"/>
    <n v="14"/>
    <n v="45"/>
    <n v="-0.52542372881355937"/>
    <x v="0"/>
    <s v="NA"/>
    <m/>
  </r>
  <r>
    <n v="54"/>
    <n v="5"/>
    <d v="2023-04-05T00:00:00"/>
    <m/>
    <s v="Anopheles gambiae"/>
    <s v="kis"/>
    <s v="oui"/>
    <s v="eau_KIS"/>
    <s v="eau"/>
    <x v="0"/>
    <x v="0"/>
    <s v="non"/>
    <n v="0"/>
    <n v="0"/>
    <s v="NA"/>
    <x v="2"/>
    <n v="0"/>
    <s v="mort"/>
  </r>
  <r>
    <n v="55"/>
    <n v="5"/>
    <d v="2023-04-05T00:00:00"/>
    <m/>
    <s v="Anopheles gambiae"/>
    <s v="kis"/>
    <s v="oui"/>
    <s v="eau_KIS"/>
    <s v="eau"/>
    <x v="0"/>
    <x v="0"/>
    <s v="oui"/>
    <n v="0"/>
    <n v="95"/>
    <n v="-1"/>
    <x v="0"/>
    <s v="NA"/>
    <m/>
  </r>
  <r>
    <n v="56"/>
    <n v="5"/>
    <d v="2023-04-05T00:00:00"/>
    <m/>
    <s v="Anopheles gambiae"/>
    <s v="kis"/>
    <s v="oui"/>
    <s v="eau_KIS"/>
    <s v="eau"/>
    <x v="0"/>
    <x v="0"/>
    <s v="oui"/>
    <n v="0"/>
    <n v="130"/>
    <n v="-1"/>
    <x v="0"/>
    <s v="NA"/>
    <m/>
  </r>
  <r>
    <n v="57"/>
    <n v="5"/>
    <d v="2023-04-05T00:00:00"/>
    <m/>
    <s v="Anopheles gambiae"/>
    <s v="kis"/>
    <s v="oui"/>
    <s v="eau_KIS"/>
    <s v="eau"/>
    <x v="0"/>
    <x v="0"/>
    <s v="oui"/>
    <n v="27"/>
    <n v="112"/>
    <n v="-0.61151079136690645"/>
    <x v="0"/>
    <s v="NA"/>
    <m/>
  </r>
  <r>
    <n v="58"/>
    <n v="5"/>
    <d v="2023-04-05T00:00:00"/>
    <m/>
    <s v="Anopheles gambiae"/>
    <s v="kis"/>
    <s v="oui"/>
    <s v="eau_KIS"/>
    <s v="eau"/>
    <x v="0"/>
    <x v="0"/>
    <s v="oui"/>
    <n v="99"/>
    <n v="0"/>
    <n v="1"/>
    <x v="1"/>
    <s v="NA"/>
    <m/>
  </r>
  <r>
    <n v="59"/>
    <n v="5"/>
    <d v="2023-04-05T00:00:00"/>
    <m/>
    <s v="Anopheles gambiae"/>
    <s v="kis"/>
    <s v="oui"/>
    <s v="eau_KIS"/>
    <s v="eau"/>
    <x v="0"/>
    <x v="0"/>
    <s v="oui"/>
    <n v="0"/>
    <n v="103"/>
    <n v="-1"/>
    <x v="0"/>
    <s v="NA"/>
    <m/>
  </r>
  <r>
    <n v="60"/>
    <n v="6"/>
    <n v="45043"/>
    <m/>
    <s v="Anopheles gambiae"/>
    <s v="kdr"/>
    <s v="oui"/>
    <s v="eau_KDR"/>
    <s v="eau"/>
    <x v="0"/>
    <x v="0"/>
    <s v="oui"/>
    <n v="0"/>
    <n v="108"/>
    <n v="-1"/>
    <x v="0"/>
    <s v="NA"/>
    <m/>
  </r>
  <r>
    <n v="61"/>
    <n v="6"/>
    <n v="45043"/>
    <m/>
    <s v="Anopheles gambiae"/>
    <s v="kdr"/>
    <s v="oui"/>
    <s v="eau_KDR"/>
    <s v="eau"/>
    <x v="0"/>
    <x v="0"/>
    <s v="oui"/>
    <n v="9"/>
    <n v="107"/>
    <n v="-0.84482758620689657"/>
    <x v="0"/>
    <s v="NA"/>
    <s v="mort"/>
  </r>
  <r>
    <n v="62"/>
    <n v="6"/>
    <n v="45043"/>
    <m/>
    <s v="Anopheles gambiae"/>
    <s v="kdr"/>
    <s v="oui"/>
    <s v="eau_KDR"/>
    <s v="eau"/>
    <x v="0"/>
    <x v="0"/>
    <s v="oui"/>
    <n v="36"/>
    <n v="0"/>
    <n v="1"/>
    <x v="1"/>
    <s v="NA"/>
    <m/>
  </r>
  <r>
    <n v="63"/>
    <n v="6"/>
    <n v="45043"/>
    <m/>
    <s v="Anopheles gambiae"/>
    <s v="kdr"/>
    <s v="oui"/>
    <s v="eau_KDR"/>
    <s v="eau"/>
    <x v="0"/>
    <x v="0"/>
    <s v="oui"/>
    <n v="47"/>
    <n v="0"/>
    <n v="1"/>
    <x v="1"/>
    <s v="NA"/>
    <s v="mort"/>
  </r>
  <r>
    <n v="64"/>
    <n v="6"/>
    <n v="45043"/>
    <m/>
    <s v="Anopheles gambiae"/>
    <s v="kdr"/>
    <s v="oui"/>
    <s v="eau_KDR"/>
    <s v="eau"/>
    <x v="0"/>
    <x v="0"/>
    <s v="oui"/>
    <n v="125"/>
    <n v="0"/>
    <n v="1"/>
    <x v="1"/>
    <s v="NA"/>
    <m/>
  </r>
  <r>
    <n v="65"/>
    <n v="6"/>
    <n v="45043"/>
    <m/>
    <s v="Anopheles gambiae"/>
    <s v="kdr"/>
    <s v="oui"/>
    <s v="eau_KDR"/>
    <s v="eau"/>
    <x v="0"/>
    <x v="0"/>
    <s v="non"/>
    <n v="0"/>
    <n v="0"/>
    <s v="NA"/>
    <x v="2"/>
    <n v="1"/>
    <m/>
  </r>
  <r>
    <n v="66"/>
    <n v="6"/>
    <n v="45043"/>
    <m/>
    <s v="Anopheles gambiae"/>
    <s v="kdr"/>
    <s v="oui"/>
    <s v="eau_KDR"/>
    <s v="eau"/>
    <x v="0"/>
    <x v="0"/>
    <s v="oui"/>
    <n v="58"/>
    <n v="59"/>
    <n v="-8.5470085470085479E-3"/>
    <x v="0"/>
    <s v="NA"/>
    <m/>
  </r>
  <r>
    <n v="67"/>
    <n v="6"/>
    <n v="45043"/>
    <m/>
    <s v="Anopheles gambiae"/>
    <s v="kdr"/>
    <s v="oui"/>
    <s v="eau_KDR"/>
    <s v="eau"/>
    <x v="0"/>
    <x v="0"/>
    <s v="oui"/>
    <n v="22"/>
    <n v="5"/>
    <n v="0.62962962962962965"/>
    <x v="1"/>
    <s v="NA"/>
    <m/>
  </r>
  <r>
    <n v="68"/>
    <n v="6"/>
    <n v="45043"/>
    <m/>
    <s v="Anopheles gambiae"/>
    <s v="kdr"/>
    <s v="oui"/>
    <s v="rose_KDR"/>
    <s v="permethrine"/>
    <x v="1"/>
    <x v="0"/>
    <s v="oui"/>
    <n v="0"/>
    <n v="71"/>
    <n v="-1"/>
    <x v="0"/>
    <s v="NA"/>
    <m/>
  </r>
  <r>
    <n v="69"/>
    <n v="6"/>
    <n v="45043"/>
    <m/>
    <s v="Anopheles gambiae"/>
    <s v="kdr"/>
    <s v="oui"/>
    <s v="rose_KDR"/>
    <s v="permethrine"/>
    <x v="1"/>
    <x v="0"/>
    <s v="oui"/>
    <n v="58"/>
    <n v="49"/>
    <n v="8.4112149532710276E-2"/>
    <x v="1"/>
    <s v="NA"/>
    <m/>
  </r>
  <r>
    <n v="70"/>
    <n v="6"/>
    <n v="45043"/>
    <m/>
    <s v="Anopheles gambiae"/>
    <s v="kdr"/>
    <s v="oui"/>
    <s v="rose_KDR"/>
    <s v="permethrine"/>
    <x v="1"/>
    <x v="0"/>
    <s v="oui"/>
    <n v="31"/>
    <n v="34"/>
    <n v="-4.6153846153846156E-2"/>
    <x v="0"/>
    <s v="NA"/>
    <m/>
  </r>
  <r>
    <n v="71"/>
    <n v="6"/>
    <n v="45043"/>
    <m/>
    <s v="Anopheles gambiae"/>
    <s v="kdr"/>
    <s v="oui"/>
    <s v="rose_KDR"/>
    <s v="permethrine"/>
    <x v="1"/>
    <x v="0"/>
    <s v="oui"/>
    <n v="16"/>
    <n v="0"/>
    <n v="1"/>
    <x v="1"/>
    <s v="NA"/>
    <m/>
  </r>
  <r>
    <n v="72"/>
    <n v="6"/>
    <n v="45043"/>
    <m/>
    <s v="Anopheles gambiae"/>
    <s v="kdr"/>
    <s v="oui"/>
    <s v="rose_KDR"/>
    <s v="permethrine"/>
    <x v="1"/>
    <x v="0"/>
    <s v="oui"/>
    <n v="9"/>
    <n v="24"/>
    <n v="-0.45454545454545453"/>
    <x v="0"/>
    <s v="NA"/>
    <m/>
  </r>
  <r>
    <n v="73"/>
    <n v="6"/>
    <n v="45043"/>
    <m/>
    <s v="Anopheles gambiae"/>
    <s v="kdr"/>
    <s v="oui"/>
    <s v="rose_KDR"/>
    <s v="permethrine"/>
    <x v="1"/>
    <x v="0"/>
    <s v="oui"/>
    <n v="32"/>
    <n v="0"/>
    <n v="1"/>
    <x v="1"/>
    <s v="NA"/>
    <s v="mort"/>
  </r>
  <r>
    <n v="74"/>
    <n v="6"/>
    <n v="45043"/>
    <m/>
    <s v="Anopheles gambiae"/>
    <s v="kdr"/>
    <s v="oui"/>
    <s v="rose_KDR"/>
    <s v="permethrine"/>
    <x v="1"/>
    <x v="0"/>
    <s v="non"/>
    <n v="0"/>
    <n v="0"/>
    <s v="NA"/>
    <x v="2"/>
    <n v="1"/>
    <m/>
  </r>
  <r>
    <n v="75"/>
    <n v="6"/>
    <n v="45043"/>
    <m/>
    <s v="Anopheles gambiae"/>
    <s v="kdr"/>
    <s v="oui"/>
    <s v="rose_KDR"/>
    <s v="permethrine"/>
    <x v="1"/>
    <x v="0"/>
    <s v="oui"/>
    <n v="46"/>
    <n v="23"/>
    <n v="0.33333333333333331"/>
    <x v="1"/>
    <s v="NA"/>
    <s v="mort"/>
  </r>
  <r>
    <n v="76"/>
    <n v="6"/>
    <n v="45043"/>
    <m/>
    <s v="Anopheles gambiae"/>
    <s v="kdr"/>
    <s v="oui"/>
    <s v="orange_KDR"/>
    <s v="permethrine"/>
    <x v="2"/>
    <x v="0"/>
    <s v="non"/>
    <n v="0"/>
    <n v="0"/>
    <s v="NA"/>
    <x v="2"/>
    <s v="NA"/>
    <s v="mort"/>
  </r>
  <r>
    <n v="77"/>
    <n v="6"/>
    <n v="45043"/>
    <m/>
    <s v="Anopheles gambiae"/>
    <s v="kdr"/>
    <s v="oui"/>
    <s v="orange_KDR"/>
    <s v="permethrine"/>
    <x v="2"/>
    <x v="0"/>
    <s v="oui"/>
    <n v="8"/>
    <n v="80"/>
    <n v="-0.81818181818181823"/>
    <x v="0"/>
    <s v="NA"/>
    <m/>
  </r>
  <r>
    <n v="78"/>
    <n v="6"/>
    <n v="45043"/>
    <m/>
    <s v="Anopheles gambiae"/>
    <s v="kdr"/>
    <s v="oui"/>
    <s v="orange_KDR"/>
    <s v="permethrine"/>
    <x v="2"/>
    <x v="0"/>
    <s v="oui"/>
    <n v="81"/>
    <n v="16"/>
    <n v="0.67010309278350511"/>
    <x v="1"/>
    <s v="NA"/>
    <m/>
  </r>
  <r>
    <n v="79"/>
    <n v="6"/>
    <n v="45043"/>
    <m/>
    <s v="Anopheles gambiae"/>
    <s v="kdr"/>
    <s v="oui"/>
    <s v="orange_KDR"/>
    <s v="permethrine"/>
    <x v="2"/>
    <x v="0"/>
    <s v="non"/>
    <n v="0"/>
    <n v="0"/>
    <s v="NA"/>
    <x v="2"/>
    <s v="NA"/>
    <s v="mort"/>
  </r>
  <r>
    <n v="80"/>
    <n v="6"/>
    <n v="45043"/>
    <m/>
    <s v="Anopheles gambiae"/>
    <s v="kdr"/>
    <s v="oui"/>
    <s v="orange_KDR"/>
    <s v="permethrine"/>
    <x v="2"/>
    <x v="0"/>
    <s v="non"/>
    <n v="0"/>
    <n v="0"/>
    <s v="NA"/>
    <x v="2"/>
    <n v="0"/>
    <m/>
  </r>
  <r>
    <n v="81"/>
    <n v="6"/>
    <n v="45043"/>
    <m/>
    <s v="Anopheles gambiae"/>
    <s v="kdr"/>
    <s v="oui"/>
    <s v="orange_KDR"/>
    <s v="permethrine"/>
    <x v="2"/>
    <x v="0"/>
    <s v="oui"/>
    <n v="0"/>
    <n v="79"/>
    <n v="-1"/>
    <x v="0"/>
    <s v="NA"/>
    <s v="mort"/>
  </r>
  <r>
    <n v="82"/>
    <n v="6"/>
    <n v="45043"/>
    <m/>
    <s v="Anopheles gambiae"/>
    <s v="kdr"/>
    <s v="oui"/>
    <s v="orange_KDR"/>
    <s v="permethrine"/>
    <x v="2"/>
    <x v="0"/>
    <s v="oui"/>
    <n v="0"/>
    <n v="103"/>
    <n v="-1"/>
    <x v="0"/>
    <s v="NA"/>
    <m/>
  </r>
  <r>
    <n v="83"/>
    <n v="6"/>
    <n v="45043"/>
    <m/>
    <s v="Anopheles gambiae"/>
    <s v="kdr"/>
    <s v="oui"/>
    <s v="orange_KDR"/>
    <s v="permethrine"/>
    <x v="2"/>
    <x v="0"/>
    <s v="non"/>
    <n v="0"/>
    <n v="0"/>
    <s v="NA"/>
    <x v="2"/>
    <s v="NA"/>
    <m/>
  </r>
  <r>
    <n v="84"/>
    <n v="6"/>
    <n v="45043"/>
    <m/>
    <s v="Anopheles gambiae"/>
    <s v="kis"/>
    <s v="oui"/>
    <s v="eau_KIS"/>
    <s v="eau"/>
    <x v="0"/>
    <x v="0"/>
    <s v="non"/>
    <n v="0"/>
    <n v="0"/>
    <s v="NA"/>
    <x v="2"/>
    <s v="NA"/>
    <s v="perdu"/>
  </r>
  <r>
    <n v="85"/>
    <n v="6"/>
    <n v="45043"/>
    <m/>
    <s v="Anopheles gambiae"/>
    <s v="kis"/>
    <s v="oui"/>
    <s v="eau_KIS"/>
    <s v="eau"/>
    <x v="0"/>
    <x v="0"/>
    <s v="non"/>
    <n v="0"/>
    <n v="0"/>
    <s v="NA"/>
    <x v="2"/>
    <s v="NA"/>
    <s v="mort"/>
  </r>
  <r>
    <n v="86"/>
    <n v="6"/>
    <n v="45043"/>
    <m/>
    <s v="Anopheles gambiae"/>
    <s v="kis"/>
    <s v="oui"/>
    <s v="eau_KIS"/>
    <s v="eau"/>
    <x v="0"/>
    <x v="0"/>
    <s v="non"/>
    <n v="0"/>
    <n v="0"/>
    <s v="NA"/>
    <x v="2"/>
    <n v="0"/>
    <m/>
  </r>
  <r>
    <n v="87"/>
    <n v="6"/>
    <n v="45043"/>
    <m/>
    <s v="Anopheles gambiae"/>
    <s v="kis"/>
    <s v="oui"/>
    <s v="eau_KIS"/>
    <s v="eau"/>
    <x v="0"/>
    <x v="0"/>
    <s v="oui"/>
    <n v="0"/>
    <n v="65"/>
    <n v="-1"/>
    <x v="0"/>
    <s v="NA"/>
    <m/>
  </r>
  <r>
    <n v="88"/>
    <n v="6"/>
    <n v="45043"/>
    <m/>
    <s v="Anopheles gambiae"/>
    <s v="kis"/>
    <s v="oui"/>
    <s v="eau_KIS"/>
    <s v="eau"/>
    <x v="0"/>
    <x v="0"/>
    <s v="oui"/>
    <n v="106"/>
    <n v="0"/>
    <n v="1"/>
    <x v="1"/>
    <s v="NA"/>
    <m/>
  </r>
  <r>
    <n v="89"/>
    <n v="6"/>
    <n v="45043"/>
    <m/>
    <s v="Anopheles gambiae"/>
    <s v="kis"/>
    <s v="oui"/>
    <s v="eau_KIS"/>
    <s v="eau"/>
    <x v="0"/>
    <x v="0"/>
    <s v="non"/>
    <n v="0"/>
    <n v="0"/>
    <s v="NA"/>
    <x v="2"/>
    <n v="0"/>
    <m/>
  </r>
  <r>
    <m/>
    <m/>
    <m/>
    <m/>
    <m/>
    <m/>
    <m/>
    <m/>
    <m/>
    <x v="3"/>
    <x v="1"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8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m="1" x="4"/>
        <item x="1"/>
        <item x="0"/>
        <item x="2"/>
        <item x="3"/>
        <item t="default"/>
      </items>
    </pivotField>
    <pivotField showAll="0"/>
    <pivotField showAll="0"/>
  </pivotFields>
  <rowFields count="1">
    <field x="15"/>
  </rowFields>
  <rowItems count="4"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1">
    <pageField fld="10" hier="-1"/>
  </pageFields>
  <dataFields count="1">
    <dataField name="Nombre de choix_pondoir" fld="15" subtotal="count" baseField="0" baseItem="0"/>
  </dataFields>
  <formats count="5">
    <format dxfId="4">
      <pivotArea outline="0" collapsedLevelsAreSubtotals="1" fieldPosition="0"/>
    </format>
    <format dxfId="3">
      <pivotArea type="origin" dataOnly="0" labelOnly="1" outline="0" offset="A2" fieldPosition="0"/>
    </format>
    <format dxfId="2">
      <pivotArea field="9" type="button" dataOnly="0" labelOnly="1" outline="0" axis="axisCol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8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dataField="1" showAll="0"/>
    <pivotField showAll="0"/>
    <pivotField showAll="0"/>
    <pivotField showAll="0"/>
    <pivotField axis="axisCol" showAll="0">
      <items count="6">
        <item m="1" x="4"/>
        <item x="1"/>
        <item x="0"/>
        <item x="2"/>
        <item x="3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 v="1"/>
    </i>
    <i>
      <x v="2"/>
    </i>
    <i>
      <x v="3"/>
    </i>
    <i t="grand">
      <x/>
    </i>
  </colItems>
  <pageFields count="1">
    <pageField fld="10" hier="-1"/>
  </pageFields>
  <dataFields count="1">
    <dataField name="Nombre de ponte" fld="1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tabSelected="1" topLeftCell="A4" zoomScaleNormal="100" workbookViewId="0">
      <selection activeCell="F26" sqref="F26"/>
    </sheetView>
  </sheetViews>
  <sheetFormatPr baseColWidth="10" defaultRowHeight="15" x14ac:dyDescent="0.25"/>
  <sheetData>
    <row r="1" spans="1:20" ht="6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1" t="s">
        <v>11</v>
      </c>
      <c r="M1" s="1" t="s">
        <v>49</v>
      </c>
      <c r="N1" s="1" t="s">
        <v>50</v>
      </c>
      <c r="O1" s="6" t="s">
        <v>12</v>
      </c>
      <c r="P1" s="6" t="s">
        <v>13</v>
      </c>
      <c r="Q1" s="6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>
        <v>1</v>
      </c>
      <c r="B2">
        <v>4</v>
      </c>
      <c r="C2" s="7">
        <v>44979</v>
      </c>
      <c r="D2" s="8"/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0</v>
      </c>
      <c r="K2" t="s">
        <v>20</v>
      </c>
      <c r="L2" t="s">
        <v>20</v>
      </c>
      <c r="M2">
        <v>1</v>
      </c>
      <c r="N2">
        <f>O2+P2</f>
        <v>57</v>
      </c>
      <c r="O2" s="9">
        <v>12</v>
      </c>
      <c r="P2" s="9">
        <v>45</v>
      </c>
      <c r="Q2" s="9">
        <f>(O2-P2)/(O2+P2)</f>
        <v>-0.57894736842105265</v>
      </c>
      <c r="R2" t="s">
        <v>23</v>
      </c>
      <c r="S2" t="s">
        <v>24</v>
      </c>
    </row>
    <row r="3" spans="1:20" x14ac:dyDescent="0.25">
      <c r="A3">
        <v>2</v>
      </c>
      <c r="B3">
        <v>4</v>
      </c>
      <c r="C3" s="7">
        <v>44979</v>
      </c>
      <c r="D3" s="8"/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0</v>
      </c>
      <c r="K3" t="s">
        <v>20</v>
      </c>
      <c r="L3" t="s">
        <v>20</v>
      </c>
      <c r="M3">
        <v>1</v>
      </c>
      <c r="N3">
        <f t="shared" ref="N3:N65" si="0">O3+P3</f>
        <v>53</v>
      </c>
      <c r="O3" s="9">
        <v>49</v>
      </c>
      <c r="P3" s="9">
        <v>4</v>
      </c>
      <c r="Q3" s="9">
        <f t="shared" ref="Q3:Q65" si="1">(O3-P3)/(O3+P3)</f>
        <v>0.84905660377358494</v>
      </c>
      <c r="R3" t="s">
        <v>22</v>
      </c>
      <c r="S3" t="s">
        <v>24</v>
      </c>
    </row>
    <row r="4" spans="1:20" x14ac:dyDescent="0.25">
      <c r="A4">
        <v>3</v>
      </c>
      <c r="B4">
        <v>4</v>
      </c>
      <c r="C4" s="7">
        <v>44979</v>
      </c>
      <c r="D4" s="8"/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0</v>
      </c>
      <c r="K4" t="s">
        <v>20</v>
      </c>
      <c r="L4" t="s">
        <v>25</v>
      </c>
      <c r="M4">
        <v>0</v>
      </c>
      <c r="Q4" s="9"/>
      <c r="S4">
        <v>1</v>
      </c>
    </row>
    <row r="5" spans="1:20" x14ac:dyDescent="0.25">
      <c r="A5">
        <v>4</v>
      </c>
      <c r="B5">
        <v>4</v>
      </c>
      <c r="C5" s="7">
        <v>44979</v>
      </c>
      <c r="D5" s="8"/>
      <c r="E5" t="s">
        <v>18</v>
      </c>
      <c r="F5" t="s">
        <v>19</v>
      </c>
      <c r="G5" t="s">
        <v>20</v>
      </c>
      <c r="H5" t="s">
        <v>21</v>
      </c>
      <c r="I5" t="s">
        <v>22</v>
      </c>
      <c r="J5">
        <v>0</v>
      </c>
      <c r="K5" t="s">
        <v>20</v>
      </c>
      <c r="L5" t="s">
        <v>20</v>
      </c>
      <c r="M5">
        <v>1</v>
      </c>
      <c r="N5">
        <f t="shared" si="0"/>
        <v>99</v>
      </c>
      <c r="O5" s="9">
        <v>48</v>
      </c>
      <c r="P5" s="9">
        <v>51</v>
      </c>
      <c r="Q5" s="9">
        <f t="shared" si="1"/>
        <v>-3.0303030303030304E-2</v>
      </c>
      <c r="R5" t="s">
        <v>23</v>
      </c>
      <c r="S5" t="s">
        <v>24</v>
      </c>
    </row>
    <row r="6" spans="1:20" x14ac:dyDescent="0.25">
      <c r="A6">
        <v>5</v>
      </c>
      <c r="B6">
        <v>4</v>
      </c>
      <c r="C6" s="7">
        <v>44979</v>
      </c>
      <c r="D6" s="8"/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0</v>
      </c>
      <c r="K6" t="s">
        <v>20</v>
      </c>
      <c r="L6" t="s">
        <v>25</v>
      </c>
      <c r="M6">
        <v>0</v>
      </c>
      <c r="Q6" s="9"/>
      <c r="S6">
        <v>1</v>
      </c>
    </row>
    <row r="7" spans="1:20" x14ac:dyDescent="0.25">
      <c r="A7">
        <v>6</v>
      </c>
      <c r="B7">
        <v>4</v>
      </c>
      <c r="C7" s="7">
        <v>44979</v>
      </c>
      <c r="D7" s="8"/>
      <c r="E7" t="s">
        <v>18</v>
      </c>
      <c r="F7" t="s">
        <v>19</v>
      </c>
      <c r="G7" t="s">
        <v>20</v>
      </c>
      <c r="H7" t="s">
        <v>21</v>
      </c>
      <c r="I7" t="s">
        <v>22</v>
      </c>
      <c r="J7">
        <v>0</v>
      </c>
      <c r="K7" t="s">
        <v>20</v>
      </c>
      <c r="L7" t="s">
        <v>20</v>
      </c>
      <c r="M7">
        <v>1</v>
      </c>
      <c r="N7">
        <f t="shared" si="0"/>
        <v>83</v>
      </c>
      <c r="O7" s="9">
        <v>0</v>
      </c>
      <c r="P7" s="9">
        <v>83</v>
      </c>
      <c r="Q7" s="9">
        <f t="shared" si="1"/>
        <v>-1</v>
      </c>
      <c r="R7" t="s">
        <v>23</v>
      </c>
      <c r="S7" t="s">
        <v>24</v>
      </c>
    </row>
    <row r="8" spans="1:20" x14ac:dyDescent="0.25">
      <c r="A8">
        <v>7</v>
      </c>
      <c r="B8">
        <v>4</v>
      </c>
      <c r="C8" s="7">
        <v>44979</v>
      </c>
      <c r="D8" s="8"/>
      <c r="E8" t="s">
        <v>18</v>
      </c>
      <c r="F8" t="s">
        <v>19</v>
      </c>
      <c r="G8" t="s">
        <v>20</v>
      </c>
      <c r="H8" t="s">
        <v>21</v>
      </c>
      <c r="I8" t="s">
        <v>22</v>
      </c>
      <c r="J8">
        <v>0</v>
      </c>
      <c r="K8" t="s">
        <v>20</v>
      </c>
      <c r="L8" t="s">
        <v>20</v>
      </c>
      <c r="M8">
        <v>1</v>
      </c>
      <c r="N8">
        <f t="shared" si="0"/>
        <v>47</v>
      </c>
      <c r="O8" s="9">
        <v>25</v>
      </c>
      <c r="P8" s="9">
        <v>22</v>
      </c>
      <c r="Q8" s="9">
        <f t="shared" si="1"/>
        <v>6.3829787234042548E-2</v>
      </c>
      <c r="R8" t="s">
        <v>22</v>
      </c>
      <c r="S8" t="s">
        <v>24</v>
      </c>
    </row>
    <row r="9" spans="1:20" x14ac:dyDescent="0.25">
      <c r="A9">
        <v>8</v>
      </c>
      <c r="B9">
        <v>4</v>
      </c>
      <c r="C9" s="7">
        <v>44979</v>
      </c>
      <c r="D9" s="8"/>
      <c r="E9" t="s">
        <v>18</v>
      </c>
      <c r="F9" t="s">
        <v>19</v>
      </c>
      <c r="G9" t="s">
        <v>20</v>
      </c>
      <c r="H9" t="s">
        <v>26</v>
      </c>
      <c r="I9" t="s">
        <v>27</v>
      </c>
      <c r="J9">
        <v>2.0000000000000001E-4</v>
      </c>
      <c r="K9" t="s">
        <v>20</v>
      </c>
      <c r="L9" t="s">
        <v>20</v>
      </c>
      <c r="M9">
        <v>1</v>
      </c>
      <c r="N9">
        <f t="shared" si="0"/>
        <v>58</v>
      </c>
      <c r="O9" s="9">
        <v>14</v>
      </c>
      <c r="P9" s="9">
        <v>44</v>
      </c>
      <c r="Q9" s="9">
        <f t="shared" si="1"/>
        <v>-0.51724137931034486</v>
      </c>
      <c r="R9" t="s">
        <v>23</v>
      </c>
      <c r="S9" t="s">
        <v>24</v>
      </c>
    </row>
    <row r="10" spans="1:20" x14ac:dyDescent="0.25">
      <c r="A10">
        <v>9</v>
      </c>
      <c r="B10">
        <v>4</v>
      </c>
      <c r="C10" s="7">
        <v>44979</v>
      </c>
      <c r="D10" s="8"/>
      <c r="E10" t="s">
        <v>18</v>
      </c>
      <c r="F10" t="s">
        <v>19</v>
      </c>
      <c r="G10" t="s">
        <v>20</v>
      </c>
      <c r="H10" t="s">
        <v>26</v>
      </c>
      <c r="I10" t="s">
        <v>27</v>
      </c>
      <c r="J10">
        <v>2.0000000000000001E-4</v>
      </c>
      <c r="K10" t="s">
        <v>20</v>
      </c>
      <c r="L10" t="s">
        <v>20</v>
      </c>
      <c r="M10">
        <v>1</v>
      </c>
      <c r="N10">
        <f t="shared" si="0"/>
        <v>50</v>
      </c>
      <c r="O10" s="9">
        <v>50</v>
      </c>
      <c r="P10" s="9">
        <v>0</v>
      </c>
      <c r="Q10" s="9">
        <f t="shared" si="1"/>
        <v>1</v>
      </c>
      <c r="R10" t="s">
        <v>22</v>
      </c>
      <c r="S10" t="s">
        <v>24</v>
      </c>
    </row>
    <row r="11" spans="1:20" x14ac:dyDescent="0.25">
      <c r="A11">
        <v>10</v>
      </c>
      <c r="B11">
        <v>4</v>
      </c>
      <c r="C11" s="7">
        <v>44979</v>
      </c>
      <c r="D11" s="8"/>
      <c r="E11" t="s">
        <v>18</v>
      </c>
      <c r="F11" t="s">
        <v>19</v>
      </c>
      <c r="G11" t="s">
        <v>20</v>
      </c>
      <c r="H11" t="s">
        <v>26</v>
      </c>
      <c r="I11" t="s">
        <v>27</v>
      </c>
      <c r="J11">
        <v>2.0000000000000001E-4</v>
      </c>
      <c r="K11" t="s">
        <v>20</v>
      </c>
      <c r="L11" t="s">
        <v>20</v>
      </c>
      <c r="M11">
        <v>1</v>
      </c>
      <c r="N11">
        <f t="shared" si="0"/>
        <v>66</v>
      </c>
      <c r="O11" s="9">
        <v>17</v>
      </c>
      <c r="P11" s="9">
        <v>49</v>
      </c>
      <c r="Q11" s="9">
        <f t="shared" si="1"/>
        <v>-0.48484848484848486</v>
      </c>
      <c r="R11" t="s">
        <v>23</v>
      </c>
      <c r="S11" t="s">
        <v>24</v>
      </c>
    </row>
    <row r="12" spans="1:20" x14ac:dyDescent="0.25">
      <c r="A12">
        <v>11</v>
      </c>
      <c r="B12">
        <v>4</v>
      </c>
      <c r="C12" s="7">
        <v>44979</v>
      </c>
      <c r="D12" s="8"/>
      <c r="E12" t="s">
        <v>18</v>
      </c>
      <c r="F12" t="s">
        <v>19</v>
      </c>
      <c r="G12" t="s">
        <v>20</v>
      </c>
      <c r="H12" t="s">
        <v>26</v>
      </c>
      <c r="I12" t="s">
        <v>27</v>
      </c>
      <c r="J12">
        <v>2.0000000000000001E-4</v>
      </c>
      <c r="K12" t="s">
        <v>20</v>
      </c>
      <c r="L12" t="s">
        <v>20</v>
      </c>
      <c r="M12">
        <v>1</v>
      </c>
      <c r="N12">
        <f t="shared" si="0"/>
        <v>66</v>
      </c>
      <c r="O12" s="9">
        <v>21</v>
      </c>
      <c r="P12" s="9">
        <v>45</v>
      </c>
      <c r="Q12" s="9">
        <f t="shared" si="1"/>
        <v>-0.36363636363636365</v>
      </c>
      <c r="R12" t="s">
        <v>23</v>
      </c>
      <c r="S12" t="s">
        <v>24</v>
      </c>
    </row>
    <row r="13" spans="1:20" x14ac:dyDescent="0.25">
      <c r="A13">
        <v>12</v>
      </c>
      <c r="B13">
        <v>4</v>
      </c>
      <c r="C13" s="7">
        <v>44979</v>
      </c>
      <c r="D13" s="8"/>
      <c r="E13" t="s">
        <v>18</v>
      </c>
      <c r="F13" t="s">
        <v>19</v>
      </c>
      <c r="G13" t="s">
        <v>20</v>
      </c>
      <c r="H13" t="s">
        <v>26</v>
      </c>
      <c r="I13" t="s">
        <v>27</v>
      </c>
      <c r="J13">
        <v>2.0000000000000001E-4</v>
      </c>
      <c r="K13" t="s">
        <v>20</v>
      </c>
      <c r="L13" t="s">
        <v>25</v>
      </c>
      <c r="M13">
        <v>0</v>
      </c>
      <c r="Q13" s="9"/>
      <c r="S13" t="s">
        <v>24</v>
      </c>
      <c r="T13" t="s">
        <v>28</v>
      </c>
    </row>
    <row r="14" spans="1:20" x14ac:dyDescent="0.25">
      <c r="A14">
        <v>13</v>
      </c>
      <c r="B14">
        <v>4</v>
      </c>
      <c r="C14" s="7">
        <v>44979</v>
      </c>
      <c r="D14" s="8"/>
      <c r="E14" t="s">
        <v>18</v>
      </c>
      <c r="F14" t="s">
        <v>19</v>
      </c>
      <c r="G14" t="s">
        <v>20</v>
      </c>
      <c r="H14" t="s">
        <v>26</v>
      </c>
      <c r="I14" t="s">
        <v>27</v>
      </c>
      <c r="J14">
        <v>2.0000000000000001E-4</v>
      </c>
      <c r="K14" t="s">
        <v>20</v>
      </c>
      <c r="L14" t="s">
        <v>20</v>
      </c>
      <c r="M14">
        <v>1</v>
      </c>
      <c r="N14">
        <f t="shared" si="0"/>
        <v>60</v>
      </c>
      <c r="O14" s="9">
        <v>0</v>
      </c>
      <c r="P14" s="9">
        <v>60</v>
      </c>
      <c r="Q14" s="9">
        <f t="shared" si="1"/>
        <v>-1</v>
      </c>
      <c r="R14" t="s">
        <v>23</v>
      </c>
      <c r="S14" t="s">
        <v>24</v>
      </c>
    </row>
    <row r="15" spans="1:20" x14ac:dyDescent="0.25">
      <c r="A15">
        <v>14</v>
      </c>
      <c r="B15">
        <v>4</v>
      </c>
      <c r="C15" s="7">
        <v>44979</v>
      </c>
      <c r="D15" s="8"/>
      <c r="E15" t="s">
        <v>18</v>
      </c>
      <c r="F15" t="s">
        <v>19</v>
      </c>
      <c r="G15" t="s">
        <v>20</v>
      </c>
      <c r="H15" t="s">
        <v>26</v>
      </c>
      <c r="I15" t="s">
        <v>27</v>
      </c>
      <c r="J15">
        <v>2.0000000000000001E-4</v>
      </c>
      <c r="K15" t="s">
        <v>20</v>
      </c>
      <c r="L15" t="s">
        <v>20</v>
      </c>
      <c r="M15">
        <v>1</v>
      </c>
      <c r="N15">
        <f t="shared" si="0"/>
        <v>120</v>
      </c>
      <c r="O15" s="9">
        <v>0</v>
      </c>
      <c r="P15" s="9">
        <v>120</v>
      </c>
      <c r="Q15" s="9">
        <f t="shared" si="1"/>
        <v>-1</v>
      </c>
      <c r="R15" t="s">
        <v>23</v>
      </c>
      <c r="S15" t="s">
        <v>24</v>
      </c>
    </row>
    <row r="16" spans="1:20" x14ac:dyDescent="0.25">
      <c r="A16">
        <v>15</v>
      </c>
      <c r="B16">
        <v>4</v>
      </c>
      <c r="C16" s="7">
        <v>44979</v>
      </c>
      <c r="D16" s="8"/>
      <c r="E16" t="s">
        <v>18</v>
      </c>
      <c r="F16" t="s">
        <v>19</v>
      </c>
      <c r="G16" t="s">
        <v>20</v>
      </c>
      <c r="H16" t="s">
        <v>26</v>
      </c>
      <c r="I16" t="s">
        <v>27</v>
      </c>
      <c r="J16">
        <v>2.0000000000000001E-4</v>
      </c>
      <c r="K16" t="s">
        <v>20</v>
      </c>
      <c r="L16" t="s">
        <v>20</v>
      </c>
      <c r="M16">
        <v>1</v>
      </c>
      <c r="N16">
        <f t="shared" si="0"/>
        <v>118</v>
      </c>
      <c r="O16" s="9">
        <v>44</v>
      </c>
      <c r="P16" s="9">
        <v>74</v>
      </c>
      <c r="Q16" s="9">
        <f t="shared" si="1"/>
        <v>-0.25423728813559321</v>
      </c>
      <c r="R16" t="s">
        <v>23</v>
      </c>
      <c r="S16" t="s">
        <v>24</v>
      </c>
    </row>
    <row r="17" spans="1:20" x14ac:dyDescent="0.25">
      <c r="A17">
        <v>16</v>
      </c>
      <c r="B17">
        <v>4</v>
      </c>
      <c r="C17" s="7">
        <v>44979</v>
      </c>
      <c r="D17" s="8"/>
      <c r="E17" t="s">
        <v>18</v>
      </c>
      <c r="F17" t="s">
        <v>19</v>
      </c>
      <c r="G17" t="s">
        <v>20</v>
      </c>
      <c r="H17" t="s">
        <v>29</v>
      </c>
      <c r="I17" t="s">
        <v>27</v>
      </c>
      <c r="J17">
        <v>2E-3</v>
      </c>
      <c r="K17" t="s">
        <v>20</v>
      </c>
      <c r="L17" t="s">
        <v>20</v>
      </c>
      <c r="M17">
        <v>1</v>
      </c>
      <c r="N17">
        <f t="shared" si="0"/>
        <v>77</v>
      </c>
      <c r="O17" s="9">
        <v>45</v>
      </c>
      <c r="P17" s="9">
        <v>32</v>
      </c>
      <c r="Q17" s="9">
        <f t="shared" si="1"/>
        <v>0.16883116883116883</v>
      </c>
      <c r="R17" t="s">
        <v>22</v>
      </c>
      <c r="S17" t="s">
        <v>24</v>
      </c>
    </row>
    <row r="18" spans="1:20" x14ac:dyDescent="0.25">
      <c r="A18">
        <v>17</v>
      </c>
      <c r="B18">
        <v>4</v>
      </c>
      <c r="C18" s="7">
        <v>44979</v>
      </c>
      <c r="D18" s="8"/>
      <c r="E18" t="s">
        <v>18</v>
      </c>
      <c r="F18" t="s">
        <v>19</v>
      </c>
      <c r="G18" t="s">
        <v>20</v>
      </c>
      <c r="H18" t="s">
        <v>29</v>
      </c>
      <c r="I18" t="s">
        <v>27</v>
      </c>
      <c r="J18">
        <v>2E-3</v>
      </c>
      <c r="K18" t="s">
        <v>20</v>
      </c>
      <c r="L18" t="s">
        <v>25</v>
      </c>
      <c r="M18">
        <v>0</v>
      </c>
      <c r="Q18" s="9"/>
      <c r="S18" t="s">
        <v>24</v>
      </c>
      <c r="T18" t="s">
        <v>28</v>
      </c>
    </row>
    <row r="19" spans="1:20" x14ac:dyDescent="0.25">
      <c r="A19">
        <v>18</v>
      </c>
      <c r="B19">
        <v>4</v>
      </c>
      <c r="C19" s="7">
        <v>44979</v>
      </c>
      <c r="D19" s="8"/>
      <c r="E19" t="s">
        <v>18</v>
      </c>
      <c r="F19" t="s">
        <v>19</v>
      </c>
      <c r="G19" t="s">
        <v>20</v>
      </c>
      <c r="H19" t="s">
        <v>29</v>
      </c>
      <c r="I19" t="s">
        <v>27</v>
      </c>
      <c r="J19">
        <v>2E-3</v>
      </c>
      <c r="K19" t="s">
        <v>20</v>
      </c>
      <c r="L19" t="s">
        <v>25</v>
      </c>
      <c r="M19">
        <v>0</v>
      </c>
      <c r="Q19" s="9"/>
      <c r="S19" t="s">
        <v>24</v>
      </c>
      <c r="T19" t="s">
        <v>28</v>
      </c>
    </row>
    <row r="20" spans="1:20" x14ac:dyDescent="0.25">
      <c r="A20">
        <v>19</v>
      </c>
      <c r="B20">
        <v>4</v>
      </c>
      <c r="C20" s="7">
        <v>44979</v>
      </c>
      <c r="D20" s="8"/>
      <c r="E20" t="s">
        <v>18</v>
      </c>
      <c r="F20" t="s">
        <v>19</v>
      </c>
      <c r="G20" t="s">
        <v>20</v>
      </c>
      <c r="H20" t="s">
        <v>29</v>
      </c>
      <c r="I20" t="s">
        <v>27</v>
      </c>
      <c r="J20">
        <v>2E-3</v>
      </c>
      <c r="K20" t="s">
        <v>20</v>
      </c>
      <c r="L20" t="s">
        <v>25</v>
      </c>
      <c r="M20">
        <v>0</v>
      </c>
      <c r="Q20" s="9"/>
      <c r="S20" t="s">
        <v>24</v>
      </c>
      <c r="T20" t="s">
        <v>28</v>
      </c>
    </row>
    <row r="21" spans="1:20" x14ac:dyDescent="0.25">
      <c r="A21">
        <v>20</v>
      </c>
      <c r="B21">
        <v>4</v>
      </c>
      <c r="C21" s="7">
        <v>44979</v>
      </c>
      <c r="D21" s="8"/>
      <c r="E21" t="s">
        <v>18</v>
      </c>
      <c r="F21" t="s">
        <v>19</v>
      </c>
      <c r="G21" t="s">
        <v>20</v>
      </c>
      <c r="H21" t="s">
        <v>29</v>
      </c>
      <c r="I21" t="s">
        <v>27</v>
      </c>
      <c r="J21">
        <v>2E-3</v>
      </c>
      <c r="K21" t="s">
        <v>20</v>
      </c>
      <c r="L21" t="s">
        <v>20</v>
      </c>
      <c r="M21">
        <v>1</v>
      </c>
      <c r="N21">
        <f t="shared" si="0"/>
        <v>113</v>
      </c>
      <c r="O21" s="9">
        <v>0</v>
      </c>
      <c r="P21" s="9">
        <v>113</v>
      </c>
      <c r="Q21" s="9">
        <f t="shared" si="1"/>
        <v>-1</v>
      </c>
      <c r="R21" t="s">
        <v>23</v>
      </c>
      <c r="S21" t="s">
        <v>24</v>
      </c>
    </row>
    <row r="22" spans="1:20" x14ac:dyDescent="0.25">
      <c r="A22">
        <v>21</v>
      </c>
      <c r="B22">
        <v>4</v>
      </c>
      <c r="C22" s="7">
        <v>44979</v>
      </c>
      <c r="D22" s="8"/>
      <c r="E22" t="s">
        <v>18</v>
      </c>
      <c r="F22" t="s">
        <v>19</v>
      </c>
      <c r="G22" t="s">
        <v>20</v>
      </c>
      <c r="H22" t="s">
        <v>29</v>
      </c>
      <c r="I22" t="s">
        <v>27</v>
      </c>
      <c r="J22">
        <v>2E-3</v>
      </c>
      <c r="K22" t="s">
        <v>20</v>
      </c>
      <c r="L22" t="s">
        <v>20</v>
      </c>
      <c r="M22">
        <v>1</v>
      </c>
      <c r="N22">
        <f t="shared" si="0"/>
        <v>60</v>
      </c>
      <c r="O22" s="9">
        <v>0</v>
      </c>
      <c r="P22" s="9">
        <v>60</v>
      </c>
      <c r="Q22" s="9">
        <f t="shared" si="1"/>
        <v>-1</v>
      </c>
      <c r="R22" t="s">
        <v>23</v>
      </c>
      <c r="S22" t="s">
        <v>24</v>
      </c>
    </row>
    <row r="23" spans="1:20" x14ac:dyDescent="0.25">
      <c r="A23">
        <v>22</v>
      </c>
      <c r="B23">
        <v>4</v>
      </c>
      <c r="C23" s="7">
        <v>44979</v>
      </c>
      <c r="D23" s="8"/>
      <c r="E23" t="s">
        <v>18</v>
      </c>
      <c r="F23" t="s">
        <v>19</v>
      </c>
      <c r="G23" t="s">
        <v>20</v>
      </c>
      <c r="H23" t="s">
        <v>29</v>
      </c>
      <c r="I23" t="s">
        <v>27</v>
      </c>
      <c r="J23">
        <v>2E-3</v>
      </c>
      <c r="K23" t="s">
        <v>20</v>
      </c>
      <c r="L23" t="s">
        <v>20</v>
      </c>
      <c r="M23">
        <v>1</v>
      </c>
      <c r="N23">
        <f t="shared" si="0"/>
        <v>63</v>
      </c>
      <c r="O23" s="9">
        <v>51</v>
      </c>
      <c r="P23" s="9">
        <v>12</v>
      </c>
      <c r="Q23" s="9">
        <f t="shared" si="1"/>
        <v>0.61904761904761907</v>
      </c>
      <c r="R23" t="s">
        <v>22</v>
      </c>
      <c r="S23" t="s">
        <v>24</v>
      </c>
      <c r="T23" t="s">
        <v>28</v>
      </c>
    </row>
    <row r="24" spans="1:20" x14ac:dyDescent="0.25">
      <c r="A24">
        <v>23</v>
      </c>
      <c r="B24">
        <v>4</v>
      </c>
      <c r="C24" s="7">
        <v>44979</v>
      </c>
      <c r="D24" s="8"/>
      <c r="E24" t="s">
        <v>18</v>
      </c>
      <c r="F24" t="s">
        <v>19</v>
      </c>
      <c r="G24" t="s">
        <v>20</v>
      </c>
      <c r="H24" t="s">
        <v>29</v>
      </c>
      <c r="I24" t="s">
        <v>27</v>
      </c>
      <c r="J24">
        <v>2E-3</v>
      </c>
      <c r="K24" t="s">
        <v>20</v>
      </c>
      <c r="L24" t="s">
        <v>20</v>
      </c>
      <c r="M24">
        <v>1</v>
      </c>
      <c r="N24">
        <f t="shared" si="0"/>
        <v>91</v>
      </c>
      <c r="O24" s="9">
        <v>91</v>
      </c>
      <c r="P24" s="9">
        <v>0</v>
      </c>
      <c r="Q24" s="9">
        <f t="shared" si="1"/>
        <v>1</v>
      </c>
      <c r="R24" t="s">
        <v>22</v>
      </c>
      <c r="S24" t="s">
        <v>24</v>
      </c>
    </row>
    <row r="25" spans="1:20" x14ac:dyDescent="0.25">
      <c r="A25">
        <v>24</v>
      </c>
      <c r="B25">
        <v>4</v>
      </c>
      <c r="C25" s="7">
        <v>44979</v>
      </c>
      <c r="D25" s="8"/>
      <c r="E25" t="s">
        <v>18</v>
      </c>
      <c r="F25" t="s">
        <v>30</v>
      </c>
      <c r="G25" t="s">
        <v>20</v>
      </c>
      <c r="H25" t="s">
        <v>31</v>
      </c>
      <c r="I25" t="s">
        <v>22</v>
      </c>
      <c r="J25">
        <v>0</v>
      </c>
      <c r="K25" t="s">
        <v>20</v>
      </c>
      <c r="L25" t="s">
        <v>20</v>
      </c>
      <c r="M25">
        <v>1</v>
      </c>
      <c r="N25">
        <f t="shared" si="0"/>
        <v>37</v>
      </c>
      <c r="O25" s="9">
        <v>0</v>
      </c>
      <c r="P25" s="9">
        <v>37</v>
      </c>
      <c r="Q25" s="9">
        <f t="shared" si="1"/>
        <v>-1</v>
      </c>
      <c r="R25" t="s">
        <v>23</v>
      </c>
      <c r="S25" t="s">
        <v>24</v>
      </c>
      <c r="T25" t="s">
        <v>32</v>
      </c>
    </row>
    <row r="26" spans="1:20" x14ac:dyDescent="0.25">
      <c r="A26">
        <v>25</v>
      </c>
      <c r="B26">
        <v>4</v>
      </c>
      <c r="C26" s="7">
        <v>44979</v>
      </c>
      <c r="D26" s="8"/>
      <c r="E26" t="s">
        <v>18</v>
      </c>
      <c r="F26" t="s">
        <v>30</v>
      </c>
      <c r="G26" t="s">
        <v>20</v>
      </c>
      <c r="H26" t="s">
        <v>31</v>
      </c>
      <c r="I26" t="s">
        <v>22</v>
      </c>
      <c r="J26">
        <v>0</v>
      </c>
      <c r="K26" t="s">
        <v>20</v>
      </c>
      <c r="L26" t="s">
        <v>25</v>
      </c>
      <c r="M26">
        <v>0</v>
      </c>
      <c r="Q26" s="9"/>
      <c r="S26" t="s">
        <v>24</v>
      </c>
      <c r="T26" t="s">
        <v>28</v>
      </c>
    </row>
    <row r="27" spans="1:20" x14ac:dyDescent="0.25">
      <c r="A27">
        <v>26</v>
      </c>
      <c r="B27">
        <v>4</v>
      </c>
      <c r="C27" s="7">
        <v>44979</v>
      </c>
      <c r="D27" s="8"/>
      <c r="E27" t="s">
        <v>18</v>
      </c>
      <c r="F27" t="s">
        <v>30</v>
      </c>
      <c r="G27" t="s">
        <v>20</v>
      </c>
      <c r="H27" t="s">
        <v>31</v>
      </c>
      <c r="I27" t="s">
        <v>22</v>
      </c>
      <c r="J27">
        <v>0</v>
      </c>
      <c r="K27" t="s">
        <v>20</v>
      </c>
      <c r="L27" t="s">
        <v>20</v>
      </c>
      <c r="M27">
        <v>1</v>
      </c>
      <c r="N27">
        <f t="shared" si="0"/>
        <v>73</v>
      </c>
      <c r="O27" s="9">
        <v>0</v>
      </c>
      <c r="P27" s="9">
        <v>73</v>
      </c>
      <c r="Q27" s="9">
        <f t="shared" si="1"/>
        <v>-1</v>
      </c>
      <c r="R27" t="s">
        <v>23</v>
      </c>
      <c r="S27" t="s">
        <v>24</v>
      </c>
    </row>
    <row r="28" spans="1:20" x14ac:dyDescent="0.25">
      <c r="A28">
        <v>27</v>
      </c>
      <c r="B28">
        <v>4</v>
      </c>
      <c r="C28" s="7">
        <v>44979</v>
      </c>
      <c r="D28" s="8"/>
      <c r="E28" t="s">
        <v>18</v>
      </c>
      <c r="F28" t="s">
        <v>30</v>
      </c>
      <c r="G28" t="s">
        <v>20</v>
      </c>
      <c r="H28" t="s">
        <v>31</v>
      </c>
      <c r="I28" t="s">
        <v>22</v>
      </c>
      <c r="J28">
        <v>0</v>
      </c>
      <c r="K28" t="s">
        <v>20</v>
      </c>
      <c r="L28" t="s">
        <v>20</v>
      </c>
      <c r="M28">
        <v>1</v>
      </c>
      <c r="N28">
        <f t="shared" si="0"/>
        <v>73</v>
      </c>
      <c r="O28" s="9">
        <v>7</v>
      </c>
      <c r="P28" s="9">
        <v>66</v>
      </c>
      <c r="Q28" s="9">
        <f t="shared" si="1"/>
        <v>-0.80821917808219179</v>
      </c>
      <c r="R28" t="s">
        <v>23</v>
      </c>
      <c r="S28" t="s">
        <v>24</v>
      </c>
    </row>
    <row r="29" spans="1:20" x14ac:dyDescent="0.25">
      <c r="A29">
        <v>28</v>
      </c>
      <c r="B29">
        <v>4</v>
      </c>
      <c r="C29" s="7">
        <v>44979</v>
      </c>
      <c r="D29" s="8"/>
      <c r="E29" t="s">
        <v>18</v>
      </c>
      <c r="F29" t="s">
        <v>30</v>
      </c>
      <c r="G29" t="s">
        <v>20</v>
      </c>
      <c r="H29" t="s">
        <v>31</v>
      </c>
      <c r="I29" t="s">
        <v>22</v>
      </c>
      <c r="J29">
        <v>0</v>
      </c>
      <c r="K29" t="s">
        <v>20</v>
      </c>
      <c r="L29" t="s">
        <v>20</v>
      </c>
      <c r="M29">
        <v>1</v>
      </c>
      <c r="N29">
        <f t="shared" si="0"/>
        <v>51</v>
      </c>
      <c r="O29" s="9">
        <v>16</v>
      </c>
      <c r="P29" s="9">
        <v>35</v>
      </c>
      <c r="Q29" s="9">
        <f t="shared" si="1"/>
        <v>-0.37254901960784315</v>
      </c>
      <c r="R29" t="s">
        <v>23</v>
      </c>
      <c r="S29" t="s">
        <v>24</v>
      </c>
    </row>
    <row r="30" spans="1:20" x14ac:dyDescent="0.25">
      <c r="A30">
        <v>29</v>
      </c>
      <c r="B30">
        <v>4</v>
      </c>
      <c r="C30" s="7">
        <v>44979</v>
      </c>
      <c r="D30" s="8"/>
      <c r="E30" t="s">
        <v>18</v>
      </c>
      <c r="F30" t="s">
        <v>30</v>
      </c>
      <c r="G30" t="s">
        <v>20</v>
      </c>
      <c r="H30" t="s">
        <v>31</v>
      </c>
      <c r="I30" t="s">
        <v>22</v>
      </c>
      <c r="J30">
        <v>0</v>
      </c>
      <c r="K30" t="s">
        <v>20</v>
      </c>
      <c r="L30" t="s">
        <v>20</v>
      </c>
      <c r="M30">
        <v>1</v>
      </c>
      <c r="N30">
        <f t="shared" si="0"/>
        <v>140</v>
      </c>
      <c r="O30" s="9">
        <v>140</v>
      </c>
      <c r="P30" s="9">
        <v>0</v>
      </c>
      <c r="Q30" s="9">
        <f t="shared" si="1"/>
        <v>1</v>
      </c>
      <c r="R30" t="s">
        <v>22</v>
      </c>
      <c r="S30" t="s">
        <v>24</v>
      </c>
    </row>
    <row r="31" spans="1:20" x14ac:dyDescent="0.25">
      <c r="A31">
        <v>30</v>
      </c>
      <c r="B31">
        <v>5</v>
      </c>
      <c r="C31" s="7">
        <v>45021</v>
      </c>
      <c r="D31" s="8"/>
      <c r="E31" t="s">
        <v>18</v>
      </c>
      <c r="F31" t="s">
        <v>19</v>
      </c>
      <c r="G31" t="s">
        <v>20</v>
      </c>
      <c r="H31" t="s">
        <v>21</v>
      </c>
      <c r="I31" t="s">
        <v>22</v>
      </c>
      <c r="J31">
        <v>0</v>
      </c>
      <c r="K31" t="s">
        <v>20</v>
      </c>
      <c r="L31" t="s">
        <v>25</v>
      </c>
      <c r="M31">
        <v>0</v>
      </c>
      <c r="Q31" s="9"/>
      <c r="S31" t="s">
        <v>24</v>
      </c>
      <c r="T31" t="s">
        <v>28</v>
      </c>
    </row>
    <row r="32" spans="1:20" x14ac:dyDescent="0.25">
      <c r="A32">
        <v>31</v>
      </c>
      <c r="B32">
        <v>5</v>
      </c>
      <c r="C32" s="7">
        <v>45021</v>
      </c>
      <c r="D32" s="8"/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>
        <v>0</v>
      </c>
      <c r="K32" t="s">
        <v>20</v>
      </c>
      <c r="L32" t="s">
        <v>20</v>
      </c>
      <c r="M32">
        <v>1</v>
      </c>
      <c r="N32">
        <f t="shared" si="0"/>
        <v>67</v>
      </c>
      <c r="O32" s="9">
        <v>63</v>
      </c>
      <c r="P32" s="9">
        <v>4</v>
      </c>
      <c r="Q32" s="9">
        <f t="shared" si="1"/>
        <v>0.88059701492537312</v>
      </c>
      <c r="R32" t="s">
        <v>22</v>
      </c>
      <c r="S32" t="s">
        <v>24</v>
      </c>
    </row>
    <row r="33" spans="1:20" x14ac:dyDescent="0.25">
      <c r="A33">
        <v>32</v>
      </c>
      <c r="B33">
        <v>5</v>
      </c>
      <c r="C33" s="7">
        <v>45021</v>
      </c>
      <c r="D33" s="8"/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>
        <v>0</v>
      </c>
      <c r="K33" t="s">
        <v>20</v>
      </c>
      <c r="L33" t="s">
        <v>25</v>
      </c>
      <c r="M33">
        <v>0</v>
      </c>
      <c r="Q33" s="9"/>
      <c r="S33">
        <v>0</v>
      </c>
      <c r="T33" t="s">
        <v>28</v>
      </c>
    </row>
    <row r="34" spans="1:20" x14ac:dyDescent="0.25">
      <c r="A34">
        <v>33</v>
      </c>
      <c r="B34">
        <v>5</v>
      </c>
      <c r="C34" s="7">
        <v>45021</v>
      </c>
      <c r="D34" s="8"/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>
        <v>0</v>
      </c>
      <c r="K34" t="s">
        <v>20</v>
      </c>
      <c r="L34" t="s">
        <v>20</v>
      </c>
      <c r="M34">
        <v>1</v>
      </c>
      <c r="N34">
        <f t="shared" si="0"/>
        <v>127</v>
      </c>
      <c r="O34" s="9">
        <v>0</v>
      </c>
      <c r="P34" s="9">
        <v>127</v>
      </c>
      <c r="Q34" s="9">
        <f t="shared" si="1"/>
        <v>-1</v>
      </c>
      <c r="R34" t="s">
        <v>23</v>
      </c>
      <c r="S34" t="s">
        <v>24</v>
      </c>
    </row>
    <row r="35" spans="1:20" x14ac:dyDescent="0.25">
      <c r="A35">
        <v>34</v>
      </c>
      <c r="B35">
        <v>5</v>
      </c>
      <c r="C35" s="7">
        <v>45021</v>
      </c>
      <c r="D35" s="8"/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>
        <v>0</v>
      </c>
      <c r="K35" t="s">
        <v>20</v>
      </c>
      <c r="L35" t="s">
        <v>25</v>
      </c>
      <c r="M35">
        <v>0</v>
      </c>
      <c r="Q35" s="9"/>
      <c r="S35">
        <v>0</v>
      </c>
    </row>
    <row r="36" spans="1:20" x14ac:dyDescent="0.25">
      <c r="A36">
        <v>35</v>
      </c>
      <c r="B36">
        <v>5</v>
      </c>
      <c r="C36" s="7">
        <v>45021</v>
      </c>
      <c r="D36" s="8"/>
      <c r="E36" t="s">
        <v>18</v>
      </c>
      <c r="F36" t="s">
        <v>19</v>
      </c>
      <c r="G36" t="s">
        <v>20</v>
      </c>
      <c r="H36" t="s">
        <v>21</v>
      </c>
      <c r="I36" t="s">
        <v>22</v>
      </c>
      <c r="J36">
        <v>0</v>
      </c>
      <c r="K36" t="s">
        <v>20</v>
      </c>
      <c r="L36" t="s">
        <v>25</v>
      </c>
      <c r="M36">
        <v>0</v>
      </c>
      <c r="Q36" s="9"/>
      <c r="S36">
        <v>0</v>
      </c>
    </row>
    <row r="37" spans="1:20" x14ac:dyDescent="0.25">
      <c r="A37">
        <v>36</v>
      </c>
      <c r="B37">
        <v>5</v>
      </c>
      <c r="C37" s="7">
        <v>45021</v>
      </c>
      <c r="D37" s="8"/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>
        <v>0</v>
      </c>
      <c r="K37" t="s">
        <v>20</v>
      </c>
      <c r="L37" t="s">
        <v>20</v>
      </c>
      <c r="M37">
        <v>1</v>
      </c>
      <c r="N37">
        <f t="shared" si="0"/>
        <v>94</v>
      </c>
      <c r="O37" s="9">
        <v>71</v>
      </c>
      <c r="P37" s="9">
        <v>23</v>
      </c>
      <c r="Q37" s="9">
        <f t="shared" si="1"/>
        <v>0.51063829787234039</v>
      </c>
      <c r="R37" t="s">
        <v>22</v>
      </c>
      <c r="S37" t="s">
        <v>24</v>
      </c>
    </row>
    <row r="38" spans="1:20" x14ac:dyDescent="0.25">
      <c r="A38">
        <v>37</v>
      </c>
      <c r="B38">
        <v>5</v>
      </c>
      <c r="C38" s="7">
        <v>45021</v>
      </c>
      <c r="D38" s="8"/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>
        <v>0</v>
      </c>
      <c r="K38" t="s">
        <v>20</v>
      </c>
      <c r="L38" t="s">
        <v>25</v>
      </c>
      <c r="M38">
        <v>0</v>
      </c>
      <c r="Q38" s="9"/>
      <c r="S38" t="s">
        <v>24</v>
      </c>
      <c r="T38" t="s">
        <v>28</v>
      </c>
    </row>
    <row r="39" spans="1:20" x14ac:dyDescent="0.25">
      <c r="A39">
        <v>38</v>
      </c>
      <c r="B39">
        <v>5</v>
      </c>
      <c r="C39" s="7">
        <v>45021</v>
      </c>
      <c r="D39" s="8"/>
      <c r="E39" t="s">
        <v>18</v>
      </c>
      <c r="F39" t="s">
        <v>19</v>
      </c>
      <c r="G39" t="s">
        <v>20</v>
      </c>
      <c r="H39" t="s">
        <v>26</v>
      </c>
      <c r="I39" t="s">
        <v>27</v>
      </c>
      <c r="J39">
        <v>2.0000000000000001E-4</v>
      </c>
      <c r="K39" t="s">
        <v>20</v>
      </c>
      <c r="L39" t="s">
        <v>20</v>
      </c>
      <c r="M39">
        <v>1</v>
      </c>
      <c r="N39">
        <f t="shared" si="0"/>
        <v>85</v>
      </c>
      <c r="O39" s="9">
        <v>83</v>
      </c>
      <c r="P39" s="9">
        <v>2</v>
      </c>
      <c r="Q39" s="9">
        <f t="shared" si="1"/>
        <v>0.95294117647058818</v>
      </c>
      <c r="R39" t="s">
        <v>22</v>
      </c>
      <c r="S39" t="s">
        <v>24</v>
      </c>
    </row>
    <row r="40" spans="1:20" x14ac:dyDescent="0.25">
      <c r="A40">
        <v>39</v>
      </c>
      <c r="B40">
        <v>5</v>
      </c>
      <c r="C40" s="7">
        <v>45021</v>
      </c>
      <c r="D40" s="8"/>
      <c r="E40" t="s">
        <v>18</v>
      </c>
      <c r="F40" t="s">
        <v>19</v>
      </c>
      <c r="G40" t="s">
        <v>20</v>
      </c>
      <c r="H40" t="s">
        <v>26</v>
      </c>
      <c r="I40" t="s">
        <v>27</v>
      </c>
      <c r="J40">
        <v>2.0000000000000001E-4</v>
      </c>
      <c r="K40" t="s">
        <v>20</v>
      </c>
      <c r="L40" t="s">
        <v>20</v>
      </c>
      <c r="M40">
        <v>1</v>
      </c>
      <c r="N40">
        <f t="shared" si="0"/>
        <v>61</v>
      </c>
      <c r="O40" s="9">
        <v>29</v>
      </c>
      <c r="P40" s="9">
        <v>32</v>
      </c>
      <c r="Q40" s="9">
        <f t="shared" si="1"/>
        <v>-4.9180327868852458E-2</v>
      </c>
      <c r="R40" t="s">
        <v>23</v>
      </c>
      <c r="S40" t="s">
        <v>24</v>
      </c>
    </row>
    <row r="41" spans="1:20" x14ac:dyDescent="0.25">
      <c r="A41">
        <v>40</v>
      </c>
      <c r="B41">
        <v>5</v>
      </c>
      <c r="C41" s="7">
        <v>45021</v>
      </c>
      <c r="D41" s="8"/>
      <c r="E41" t="s">
        <v>18</v>
      </c>
      <c r="F41" t="s">
        <v>19</v>
      </c>
      <c r="G41" t="s">
        <v>20</v>
      </c>
      <c r="H41" t="s">
        <v>26</v>
      </c>
      <c r="I41" t="s">
        <v>27</v>
      </c>
      <c r="J41">
        <v>2.0000000000000001E-4</v>
      </c>
      <c r="K41" t="s">
        <v>20</v>
      </c>
      <c r="L41" t="s">
        <v>20</v>
      </c>
      <c r="M41">
        <v>1</v>
      </c>
      <c r="N41">
        <f t="shared" si="0"/>
        <v>73</v>
      </c>
      <c r="O41" s="9">
        <v>73</v>
      </c>
      <c r="P41" s="9">
        <v>0</v>
      </c>
      <c r="Q41" s="9">
        <f t="shared" si="1"/>
        <v>1</v>
      </c>
      <c r="R41" t="s">
        <v>22</v>
      </c>
      <c r="S41" t="s">
        <v>24</v>
      </c>
    </row>
    <row r="42" spans="1:20" x14ac:dyDescent="0.25">
      <c r="A42">
        <v>41</v>
      </c>
      <c r="B42">
        <v>5</v>
      </c>
      <c r="C42" s="7">
        <v>45021</v>
      </c>
      <c r="D42" s="8"/>
      <c r="E42" t="s">
        <v>18</v>
      </c>
      <c r="F42" t="s">
        <v>19</v>
      </c>
      <c r="G42" t="s">
        <v>20</v>
      </c>
      <c r="H42" t="s">
        <v>26</v>
      </c>
      <c r="I42" t="s">
        <v>27</v>
      </c>
      <c r="J42">
        <v>2.0000000000000001E-4</v>
      </c>
      <c r="K42" t="s">
        <v>20</v>
      </c>
      <c r="L42" t="s">
        <v>20</v>
      </c>
      <c r="M42">
        <v>1</v>
      </c>
      <c r="N42">
        <f t="shared" si="0"/>
        <v>91</v>
      </c>
      <c r="O42" s="9">
        <v>90</v>
      </c>
      <c r="P42" s="9">
        <v>1</v>
      </c>
      <c r="Q42" s="9">
        <f t="shared" si="1"/>
        <v>0.97802197802197799</v>
      </c>
      <c r="R42" t="s">
        <v>22</v>
      </c>
      <c r="S42" t="s">
        <v>24</v>
      </c>
    </row>
    <row r="43" spans="1:20" x14ac:dyDescent="0.25">
      <c r="A43">
        <v>42</v>
      </c>
      <c r="B43">
        <v>5</v>
      </c>
      <c r="C43" s="7">
        <v>45021</v>
      </c>
      <c r="D43" s="8"/>
      <c r="E43" t="s">
        <v>18</v>
      </c>
      <c r="F43" t="s">
        <v>19</v>
      </c>
      <c r="G43" t="s">
        <v>20</v>
      </c>
      <c r="H43" t="s">
        <v>26</v>
      </c>
      <c r="I43" t="s">
        <v>27</v>
      </c>
      <c r="J43">
        <v>2.0000000000000001E-4</v>
      </c>
      <c r="K43" t="s">
        <v>20</v>
      </c>
      <c r="L43" t="s">
        <v>20</v>
      </c>
      <c r="M43">
        <v>1</v>
      </c>
      <c r="N43">
        <f t="shared" si="0"/>
        <v>70</v>
      </c>
      <c r="O43" s="9">
        <v>0</v>
      </c>
      <c r="P43" s="9">
        <v>70</v>
      </c>
      <c r="Q43" s="9">
        <f t="shared" si="1"/>
        <v>-1</v>
      </c>
      <c r="R43" t="s">
        <v>23</v>
      </c>
      <c r="S43" t="s">
        <v>24</v>
      </c>
    </row>
    <row r="44" spans="1:20" x14ac:dyDescent="0.25">
      <c r="A44">
        <v>43</v>
      </c>
      <c r="B44">
        <v>5</v>
      </c>
      <c r="C44" s="7">
        <v>45021</v>
      </c>
      <c r="D44" s="8"/>
      <c r="E44" t="s">
        <v>18</v>
      </c>
      <c r="F44" t="s">
        <v>19</v>
      </c>
      <c r="G44" t="s">
        <v>20</v>
      </c>
      <c r="H44" t="s">
        <v>26</v>
      </c>
      <c r="I44" t="s">
        <v>27</v>
      </c>
      <c r="J44">
        <v>2.0000000000000001E-4</v>
      </c>
      <c r="K44" t="s">
        <v>20</v>
      </c>
      <c r="L44" t="s">
        <v>20</v>
      </c>
      <c r="M44">
        <v>1</v>
      </c>
      <c r="N44">
        <f t="shared" si="0"/>
        <v>125</v>
      </c>
      <c r="O44" s="9">
        <v>0</v>
      </c>
      <c r="P44" s="9">
        <v>125</v>
      </c>
      <c r="Q44" s="9">
        <f t="shared" si="1"/>
        <v>-1</v>
      </c>
      <c r="R44" t="s">
        <v>23</v>
      </c>
      <c r="S44" t="s">
        <v>24</v>
      </c>
    </row>
    <row r="45" spans="1:20" x14ac:dyDescent="0.25">
      <c r="A45">
        <v>44</v>
      </c>
      <c r="B45">
        <v>5</v>
      </c>
      <c r="C45" s="7">
        <v>45021</v>
      </c>
      <c r="D45" s="8"/>
      <c r="E45" t="s">
        <v>18</v>
      </c>
      <c r="F45" t="s">
        <v>19</v>
      </c>
      <c r="G45" t="s">
        <v>20</v>
      </c>
      <c r="H45" t="s">
        <v>26</v>
      </c>
      <c r="I45" t="s">
        <v>27</v>
      </c>
      <c r="J45">
        <v>2.0000000000000001E-4</v>
      </c>
      <c r="K45" t="s">
        <v>20</v>
      </c>
      <c r="L45" t="s">
        <v>20</v>
      </c>
      <c r="M45">
        <v>1</v>
      </c>
      <c r="N45">
        <f t="shared" si="0"/>
        <v>85</v>
      </c>
      <c r="O45" s="9">
        <v>0</v>
      </c>
      <c r="P45" s="9">
        <v>85</v>
      </c>
      <c r="Q45" s="9">
        <f t="shared" si="1"/>
        <v>-1</v>
      </c>
      <c r="R45" t="s">
        <v>23</v>
      </c>
      <c r="S45" t="s">
        <v>24</v>
      </c>
    </row>
    <row r="46" spans="1:20" x14ac:dyDescent="0.25">
      <c r="A46">
        <v>45</v>
      </c>
      <c r="B46">
        <v>5</v>
      </c>
      <c r="C46" s="7">
        <v>45021</v>
      </c>
      <c r="D46" s="8"/>
      <c r="E46" t="s">
        <v>18</v>
      </c>
      <c r="F46" t="s">
        <v>19</v>
      </c>
      <c r="G46" t="s">
        <v>20</v>
      </c>
      <c r="H46" t="s">
        <v>26</v>
      </c>
      <c r="I46" t="s">
        <v>27</v>
      </c>
      <c r="J46">
        <v>2.0000000000000001E-4</v>
      </c>
      <c r="K46" t="s">
        <v>20</v>
      </c>
      <c r="L46" t="s">
        <v>20</v>
      </c>
      <c r="M46">
        <v>1</v>
      </c>
      <c r="N46">
        <f t="shared" si="0"/>
        <v>50</v>
      </c>
      <c r="O46" s="9">
        <v>50</v>
      </c>
      <c r="P46" s="9">
        <v>0</v>
      </c>
      <c r="Q46" s="9">
        <f t="shared" si="1"/>
        <v>1</v>
      </c>
      <c r="R46" t="s">
        <v>22</v>
      </c>
      <c r="S46" t="s">
        <v>24</v>
      </c>
    </row>
    <row r="47" spans="1:20" x14ac:dyDescent="0.25">
      <c r="A47">
        <v>46</v>
      </c>
      <c r="B47">
        <v>5</v>
      </c>
      <c r="C47" s="7">
        <v>45021</v>
      </c>
      <c r="D47" s="8"/>
      <c r="E47" t="s">
        <v>18</v>
      </c>
      <c r="F47" t="s">
        <v>19</v>
      </c>
      <c r="G47" t="s">
        <v>20</v>
      </c>
      <c r="H47" t="s">
        <v>29</v>
      </c>
      <c r="I47" t="s">
        <v>27</v>
      </c>
      <c r="J47">
        <v>2E-3</v>
      </c>
      <c r="K47" t="s">
        <v>20</v>
      </c>
      <c r="L47" t="s">
        <v>20</v>
      </c>
      <c r="M47">
        <v>1</v>
      </c>
      <c r="N47">
        <f t="shared" si="0"/>
        <v>87</v>
      </c>
      <c r="O47" s="9">
        <v>87</v>
      </c>
      <c r="P47" s="9">
        <v>0</v>
      </c>
      <c r="Q47" s="9">
        <f t="shared" si="1"/>
        <v>1</v>
      </c>
      <c r="R47" t="s">
        <v>22</v>
      </c>
      <c r="S47" t="s">
        <v>24</v>
      </c>
    </row>
    <row r="48" spans="1:20" x14ac:dyDescent="0.25">
      <c r="A48">
        <v>47</v>
      </c>
      <c r="B48">
        <v>5</v>
      </c>
      <c r="C48" s="7">
        <v>45021</v>
      </c>
      <c r="D48" s="8"/>
      <c r="E48" t="s">
        <v>18</v>
      </c>
      <c r="F48" t="s">
        <v>19</v>
      </c>
      <c r="G48" t="s">
        <v>20</v>
      </c>
      <c r="H48" t="s">
        <v>29</v>
      </c>
      <c r="I48" t="s">
        <v>27</v>
      </c>
      <c r="J48">
        <v>2E-3</v>
      </c>
      <c r="K48" t="s">
        <v>20</v>
      </c>
      <c r="L48" t="s">
        <v>20</v>
      </c>
      <c r="M48">
        <v>1</v>
      </c>
      <c r="N48">
        <f t="shared" si="0"/>
        <v>44</v>
      </c>
      <c r="O48" s="9">
        <v>23</v>
      </c>
      <c r="P48" s="9">
        <v>21</v>
      </c>
      <c r="Q48" s="9">
        <f t="shared" si="1"/>
        <v>4.5454545454545456E-2</v>
      </c>
      <c r="R48" t="s">
        <v>22</v>
      </c>
      <c r="S48" t="s">
        <v>24</v>
      </c>
    </row>
    <row r="49" spans="1:20" x14ac:dyDescent="0.25">
      <c r="A49">
        <v>48</v>
      </c>
      <c r="B49">
        <v>5</v>
      </c>
      <c r="C49" s="7">
        <v>45021</v>
      </c>
      <c r="D49" s="8"/>
      <c r="E49" t="s">
        <v>18</v>
      </c>
      <c r="F49" t="s">
        <v>19</v>
      </c>
      <c r="G49" t="s">
        <v>20</v>
      </c>
      <c r="H49" t="s">
        <v>29</v>
      </c>
      <c r="I49" t="s">
        <v>27</v>
      </c>
      <c r="J49">
        <v>2E-3</v>
      </c>
      <c r="K49" t="s">
        <v>20</v>
      </c>
      <c r="L49" t="s">
        <v>20</v>
      </c>
      <c r="M49">
        <v>1</v>
      </c>
      <c r="N49">
        <f t="shared" si="0"/>
        <v>88</v>
      </c>
      <c r="O49" s="9">
        <v>0</v>
      </c>
      <c r="P49" s="9">
        <v>88</v>
      </c>
      <c r="Q49" s="9">
        <f t="shared" si="1"/>
        <v>-1</v>
      </c>
      <c r="R49" t="s">
        <v>23</v>
      </c>
      <c r="S49" t="s">
        <v>24</v>
      </c>
    </row>
    <row r="50" spans="1:20" x14ac:dyDescent="0.25">
      <c r="A50">
        <v>49</v>
      </c>
      <c r="B50">
        <v>5</v>
      </c>
      <c r="C50" s="7">
        <v>45021</v>
      </c>
      <c r="D50" s="8"/>
      <c r="E50" t="s">
        <v>18</v>
      </c>
      <c r="F50" t="s">
        <v>19</v>
      </c>
      <c r="G50" t="s">
        <v>20</v>
      </c>
      <c r="H50" t="s">
        <v>29</v>
      </c>
      <c r="I50" t="s">
        <v>27</v>
      </c>
      <c r="J50">
        <v>2E-3</v>
      </c>
      <c r="K50" t="s">
        <v>20</v>
      </c>
      <c r="L50" t="s">
        <v>20</v>
      </c>
      <c r="M50">
        <v>1</v>
      </c>
      <c r="N50">
        <f t="shared" si="0"/>
        <v>94</v>
      </c>
      <c r="O50" s="9">
        <v>94</v>
      </c>
      <c r="P50" s="9">
        <v>0</v>
      </c>
      <c r="Q50" s="9">
        <f t="shared" si="1"/>
        <v>1</v>
      </c>
      <c r="R50" t="s">
        <v>22</v>
      </c>
      <c r="S50" t="s">
        <v>24</v>
      </c>
    </row>
    <row r="51" spans="1:20" x14ac:dyDescent="0.25">
      <c r="A51">
        <v>50</v>
      </c>
      <c r="B51">
        <v>5</v>
      </c>
      <c r="C51" s="7">
        <v>45021</v>
      </c>
      <c r="D51" s="8"/>
      <c r="E51" t="s">
        <v>18</v>
      </c>
      <c r="F51" t="s">
        <v>19</v>
      </c>
      <c r="G51" t="s">
        <v>20</v>
      </c>
      <c r="H51" t="s">
        <v>29</v>
      </c>
      <c r="I51" t="s">
        <v>27</v>
      </c>
      <c r="J51">
        <v>2E-3</v>
      </c>
      <c r="K51" t="s">
        <v>20</v>
      </c>
      <c r="L51" t="s">
        <v>20</v>
      </c>
      <c r="M51">
        <v>1</v>
      </c>
      <c r="N51">
        <f t="shared" si="0"/>
        <v>17</v>
      </c>
      <c r="O51" s="9">
        <v>8</v>
      </c>
      <c r="P51" s="9">
        <v>9</v>
      </c>
      <c r="Q51" s="9">
        <f t="shared" si="1"/>
        <v>-5.8823529411764705E-2</v>
      </c>
      <c r="R51" t="s">
        <v>23</v>
      </c>
      <c r="S51" t="s">
        <v>24</v>
      </c>
    </row>
    <row r="52" spans="1:20" x14ac:dyDescent="0.25">
      <c r="A52">
        <v>51</v>
      </c>
      <c r="B52">
        <v>5</v>
      </c>
      <c r="C52" s="7">
        <v>45021</v>
      </c>
      <c r="D52" s="8"/>
      <c r="E52" t="s">
        <v>18</v>
      </c>
      <c r="F52" t="s">
        <v>19</v>
      </c>
      <c r="G52" t="s">
        <v>20</v>
      </c>
      <c r="H52" t="s">
        <v>29</v>
      </c>
      <c r="I52" t="s">
        <v>27</v>
      </c>
      <c r="J52">
        <v>2E-3</v>
      </c>
      <c r="K52" t="s">
        <v>20</v>
      </c>
      <c r="L52" t="s">
        <v>20</v>
      </c>
      <c r="M52">
        <v>1</v>
      </c>
      <c r="N52">
        <f t="shared" si="0"/>
        <v>32</v>
      </c>
      <c r="O52" s="9">
        <v>13</v>
      </c>
      <c r="P52" s="9">
        <v>19</v>
      </c>
      <c r="Q52" s="9">
        <f t="shared" si="1"/>
        <v>-0.1875</v>
      </c>
      <c r="R52" t="s">
        <v>23</v>
      </c>
      <c r="S52" t="s">
        <v>24</v>
      </c>
    </row>
    <row r="53" spans="1:20" x14ac:dyDescent="0.25">
      <c r="A53">
        <v>52</v>
      </c>
      <c r="B53">
        <v>5</v>
      </c>
      <c r="C53" s="7">
        <v>45021</v>
      </c>
      <c r="D53" s="8"/>
      <c r="E53" t="s">
        <v>18</v>
      </c>
      <c r="F53" t="s">
        <v>19</v>
      </c>
      <c r="G53" t="s">
        <v>20</v>
      </c>
      <c r="H53" t="s">
        <v>29</v>
      </c>
      <c r="I53" t="s">
        <v>27</v>
      </c>
      <c r="J53">
        <v>2E-3</v>
      </c>
      <c r="K53" t="s">
        <v>20</v>
      </c>
      <c r="L53" t="s">
        <v>20</v>
      </c>
      <c r="M53">
        <v>1</v>
      </c>
      <c r="N53">
        <f t="shared" si="0"/>
        <v>105</v>
      </c>
      <c r="O53" s="9">
        <v>105</v>
      </c>
      <c r="P53" s="9">
        <v>0</v>
      </c>
      <c r="Q53" s="9">
        <f t="shared" si="1"/>
        <v>1</v>
      </c>
      <c r="R53" t="s">
        <v>22</v>
      </c>
      <c r="S53" t="s">
        <v>24</v>
      </c>
    </row>
    <row r="54" spans="1:20" x14ac:dyDescent="0.25">
      <c r="A54">
        <v>53</v>
      </c>
      <c r="B54">
        <v>5</v>
      </c>
      <c r="C54" s="7">
        <v>45021</v>
      </c>
      <c r="D54" s="8"/>
      <c r="E54" t="s">
        <v>18</v>
      </c>
      <c r="F54" t="s">
        <v>19</v>
      </c>
      <c r="G54" t="s">
        <v>20</v>
      </c>
      <c r="H54" t="s">
        <v>29</v>
      </c>
      <c r="I54" t="s">
        <v>27</v>
      </c>
      <c r="J54">
        <v>2E-3</v>
      </c>
      <c r="K54" t="s">
        <v>20</v>
      </c>
      <c r="L54" t="s">
        <v>20</v>
      </c>
      <c r="M54">
        <v>1</v>
      </c>
      <c r="N54">
        <f t="shared" si="0"/>
        <v>59</v>
      </c>
      <c r="O54" s="9">
        <v>14</v>
      </c>
      <c r="P54" s="9">
        <v>45</v>
      </c>
      <c r="Q54" s="9">
        <f t="shared" si="1"/>
        <v>-0.52542372881355937</v>
      </c>
      <c r="R54" t="s">
        <v>23</v>
      </c>
      <c r="S54" t="s">
        <v>24</v>
      </c>
    </row>
    <row r="55" spans="1:20" x14ac:dyDescent="0.25">
      <c r="A55">
        <v>54</v>
      </c>
      <c r="B55">
        <v>5</v>
      </c>
      <c r="C55" s="7">
        <v>45021</v>
      </c>
      <c r="D55" s="8"/>
      <c r="E55" t="s">
        <v>18</v>
      </c>
      <c r="F55" t="s">
        <v>30</v>
      </c>
      <c r="G55" t="s">
        <v>20</v>
      </c>
      <c r="H55" t="s">
        <v>31</v>
      </c>
      <c r="I55" t="s">
        <v>22</v>
      </c>
      <c r="J55">
        <v>0</v>
      </c>
      <c r="K55" t="s">
        <v>20</v>
      </c>
      <c r="L55" t="s">
        <v>25</v>
      </c>
      <c r="M55">
        <v>0</v>
      </c>
      <c r="Q55" s="9"/>
      <c r="S55">
        <v>0</v>
      </c>
      <c r="T55" t="s">
        <v>28</v>
      </c>
    </row>
    <row r="56" spans="1:20" x14ac:dyDescent="0.25">
      <c r="A56">
        <v>55</v>
      </c>
      <c r="B56">
        <v>5</v>
      </c>
      <c r="C56" s="7">
        <v>45021</v>
      </c>
      <c r="D56" s="8"/>
      <c r="E56" t="s">
        <v>18</v>
      </c>
      <c r="F56" t="s">
        <v>30</v>
      </c>
      <c r="G56" t="s">
        <v>20</v>
      </c>
      <c r="H56" t="s">
        <v>31</v>
      </c>
      <c r="I56" t="s">
        <v>22</v>
      </c>
      <c r="J56">
        <v>0</v>
      </c>
      <c r="K56" t="s">
        <v>20</v>
      </c>
      <c r="L56" t="s">
        <v>20</v>
      </c>
      <c r="M56">
        <v>1</v>
      </c>
      <c r="N56">
        <f t="shared" si="0"/>
        <v>95</v>
      </c>
      <c r="O56" s="9">
        <v>0</v>
      </c>
      <c r="P56" s="9">
        <v>95</v>
      </c>
      <c r="Q56" s="9">
        <f t="shared" si="1"/>
        <v>-1</v>
      </c>
      <c r="R56" t="s">
        <v>23</v>
      </c>
      <c r="S56" t="s">
        <v>24</v>
      </c>
    </row>
    <row r="57" spans="1:20" x14ac:dyDescent="0.25">
      <c r="A57">
        <v>56</v>
      </c>
      <c r="B57">
        <v>5</v>
      </c>
      <c r="C57" s="7">
        <v>45021</v>
      </c>
      <c r="D57" s="8"/>
      <c r="E57" t="s">
        <v>18</v>
      </c>
      <c r="F57" t="s">
        <v>30</v>
      </c>
      <c r="G57" t="s">
        <v>20</v>
      </c>
      <c r="H57" t="s">
        <v>31</v>
      </c>
      <c r="I57" t="s">
        <v>22</v>
      </c>
      <c r="J57">
        <v>0</v>
      </c>
      <c r="K57" t="s">
        <v>20</v>
      </c>
      <c r="L57" t="s">
        <v>20</v>
      </c>
      <c r="M57">
        <v>1</v>
      </c>
      <c r="N57">
        <f t="shared" si="0"/>
        <v>130</v>
      </c>
      <c r="O57" s="9">
        <v>0</v>
      </c>
      <c r="P57" s="9">
        <v>130</v>
      </c>
      <c r="Q57" s="9">
        <f t="shared" si="1"/>
        <v>-1</v>
      </c>
      <c r="R57" t="s">
        <v>23</v>
      </c>
      <c r="S57" t="s">
        <v>24</v>
      </c>
    </row>
    <row r="58" spans="1:20" x14ac:dyDescent="0.25">
      <c r="A58">
        <v>57</v>
      </c>
      <c r="B58">
        <v>5</v>
      </c>
      <c r="C58" s="7">
        <v>45021</v>
      </c>
      <c r="D58" s="8"/>
      <c r="E58" t="s">
        <v>18</v>
      </c>
      <c r="F58" t="s">
        <v>30</v>
      </c>
      <c r="G58" t="s">
        <v>20</v>
      </c>
      <c r="H58" t="s">
        <v>31</v>
      </c>
      <c r="I58" t="s">
        <v>22</v>
      </c>
      <c r="J58">
        <v>0</v>
      </c>
      <c r="K58" t="s">
        <v>20</v>
      </c>
      <c r="L58" t="s">
        <v>20</v>
      </c>
      <c r="M58">
        <v>1</v>
      </c>
      <c r="N58">
        <f t="shared" si="0"/>
        <v>139</v>
      </c>
      <c r="O58" s="9">
        <v>27</v>
      </c>
      <c r="P58" s="9">
        <v>112</v>
      </c>
      <c r="Q58" s="9">
        <f t="shared" si="1"/>
        <v>-0.61151079136690645</v>
      </c>
      <c r="R58" t="s">
        <v>23</v>
      </c>
      <c r="S58" t="s">
        <v>24</v>
      </c>
    </row>
    <row r="59" spans="1:20" x14ac:dyDescent="0.25">
      <c r="A59">
        <v>58</v>
      </c>
      <c r="B59">
        <v>5</v>
      </c>
      <c r="C59" s="7">
        <v>45021</v>
      </c>
      <c r="D59" s="8"/>
      <c r="E59" t="s">
        <v>18</v>
      </c>
      <c r="F59" t="s">
        <v>30</v>
      </c>
      <c r="G59" t="s">
        <v>20</v>
      </c>
      <c r="H59" t="s">
        <v>31</v>
      </c>
      <c r="I59" t="s">
        <v>22</v>
      </c>
      <c r="J59">
        <v>0</v>
      </c>
      <c r="K59" t="s">
        <v>20</v>
      </c>
      <c r="L59" t="s">
        <v>20</v>
      </c>
      <c r="M59">
        <v>1</v>
      </c>
      <c r="N59">
        <f t="shared" si="0"/>
        <v>99</v>
      </c>
      <c r="O59" s="9">
        <v>99</v>
      </c>
      <c r="P59" s="9">
        <v>0</v>
      </c>
      <c r="Q59" s="9">
        <f t="shared" si="1"/>
        <v>1</v>
      </c>
      <c r="R59" t="s">
        <v>22</v>
      </c>
      <c r="S59" t="s">
        <v>24</v>
      </c>
    </row>
    <row r="60" spans="1:20" x14ac:dyDescent="0.25">
      <c r="A60">
        <v>59</v>
      </c>
      <c r="B60">
        <v>5</v>
      </c>
      <c r="C60" s="7">
        <v>45021</v>
      </c>
      <c r="D60" s="8"/>
      <c r="E60" t="s">
        <v>18</v>
      </c>
      <c r="F60" t="s">
        <v>30</v>
      </c>
      <c r="G60" t="s">
        <v>20</v>
      </c>
      <c r="H60" t="s">
        <v>31</v>
      </c>
      <c r="I60" t="s">
        <v>22</v>
      </c>
      <c r="J60">
        <v>0</v>
      </c>
      <c r="K60" t="s">
        <v>20</v>
      </c>
      <c r="L60" t="s">
        <v>20</v>
      </c>
      <c r="M60">
        <v>1</v>
      </c>
      <c r="N60">
        <f t="shared" si="0"/>
        <v>103</v>
      </c>
      <c r="O60" s="9">
        <v>0</v>
      </c>
      <c r="P60" s="9">
        <v>103</v>
      </c>
      <c r="Q60" s="9">
        <f t="shared" si="1"/>
        <v>-1</v>
      </c>
      <c r="R60" t="s">
        <v>23</v>
      </c>
      <c r="S60" t="s">
        <v>24</v>
      </c>
    </row>
    <row r="61" spans="1:20" x14ac:dyDescent="0.25">
      <c r="A61">
        <v>60</v>
      </c>
      <c r="B61">
        <v>6</v>
      </c>
      <c r="C61">
        <v>45043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>
        <v>0</v>
      </c>
      <c r="K61" t="s">
        <v>20</v>
      </c>
      <c r="L61" t="s">
        <v>20</v>
      </c>
      <c r="M61">
        <v>1</v>
      </c>
      <c r="N61">
        <f t="shared" si="0"/>
        <v>108</v>
      </c>
      <c r="O61">
        <v>0</v>
      </c>
      <c r="P61">
        <v>108</v>
      </c>
      <c r="Q61" s="9">
        <f t="shared" si="1"/>
        <v>-1</v>
      </c>
      <c r="R61" t="s">
        <v>23</v>
      </c>
      <c r="S61" t="s">
        <v>24</v>
      </c>
    </row>
    <row r="62" spans="1:20" x14ac:dyDescent="0.25">
      <c r="A62">
        <v>61</v>
      </c>
      <c r="B62">
        <v>6</v>
      </c>
      <c r="C62">
        <v>45043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>
        <v>0</v>
      </c>
      <c r="K62" t="s">
        <v>20</v>
      </c>
      <c r="L62" t="s">
        <v>20</v>
      </c>
      <c r="M62">
        <v>1</v>
      </c>
      <c r="N62">
        <f t="shared" si="0"/>
        <v>116</v>
      </c>
      <c r="O62">
        <v>9</v>
      </c>
      <c r="P62">
        <v>107</v>
      </c>
      <c r="Q62" s="9">
        <f t="shared" si="1"/>
        <v>-0.84482758620689657</v>
      </c>
      <c r="R62" t="s">
        <v>23</v>
      </c>
      <c r="S62" t="s">
        <v>24</v>
      </c>
      <c r="T62" t="s">
        <v>28</v>
      </c>
    </row>
    <row r="63" spans="1:20" x14ac:dyDescent="0.25">
      <c r="A63">
        <v>62</v>
      </c>
      <c r="B63">
        <v>6</v>
      </c>
      <c r="C63">
        <v>45043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>
        <v>0</v>
      </c>
      <c r="K63" t="s">
        <v>20</v>
      </c>
      <c r="L63" t="s">
        <v>20</v>
      </c>
      <c r="M63">
        <v>1</v>
      </c>
      <c r="N63">
        <f t="shared" si="0"/>
        <v>36</v>
      </c>
      <c r="O63">
        <v>36</v>
      </c>
      <c r="P63">
        <v>0</v>
      </c>
      <c r="Q63" s="9">
        <f t="shared" si="1"/>
        <v>1</v>
      </c>
      <c r="R63" t="s">
        <v>22</v>
      </c>
      <c r="S63" t="s">
        <v>24</v>
      </c>
    </row>
    <row r="64" spans="1:20" x14ac:dyDescent="0.25">
      <c r="A64">
        <v>63</v>
      </c>
      <c r="B64">
        <v>6</v>
      </c>
      <c r="C64">
        <v>45043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>
        <v>0</v>
      </c>
      <c r="K64" t="s">
        <v>20</v>
      </c>
      <c r="L64" t="s">
        <v>20</v>
      </c>
      <c r="M64">
        <v>1</v>
      </c>
      <c r="N64">
        <f t="shared" si="0"/>
        <v>47</v>
      </c>
      <c r="O64">
        <v>47</v>
      </c>
      <c r="P64">
        <v>0</v>
      </c>
      <c r="Q64" s="9">
        <f t="shared" si="1"/>
        <v>1</v>
      </c>
      <c r="R64" t="s">
        <v>22</v>
      </c>
      <c r="S64" t="s">
        <v>24</v>
      </c>
      <c r="T64" t="s">
        <v>28</v>
      </c>
    </row>
    <row r="65" spans="1:20" x14ac:dyDescent="0.25">
      <c r="A65">
        <v>64</v>
      </c>
      <c r="B65">
        <v>6</v>
      </c>
      <c r="C65">
        <v>45043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>
        <v>0</v>
      </c>
      <c r="K65" t="s">
        <v>20</v>
      </c>
      <c r="L65" t="s">
        <v>20</v>
      </c>
      <c r="M65">
        <v>1</v>
      </c>
      <c r="N65">
        <f t="shared" si="0"/>
        <v>125</v>
      </c>
      <c r="O65">
        <v>125</v>
      </c>
      <c r="P65">
        <v>0</v>
      </c>
      <c r="Q65" s="9">
        <f t="shared" si="1"/>
        <v>1</v>
      </c>
      <c r="R65" t="s">
        <v>22</v>
      </c>
      <c r="S65" t="s">
        <v>24</v>
      </c>
    </row>
    <row r="66" spans="1:20" x14ac:dyDescent="0.25">
      <c r="A66">
        <v>65</v>
      </c>
      <c r="B66">
        <v>6</v>
      </c>
      <c r="C66">
        <v>45043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J66">
        <v>0</v>
      </c>
      <c r="K66" t="s">
        <v>20</v>
      </c>
      <c r="L66" t="s">
        <v>25</v>
      </c>
      <c r="M66">
        <v>0</v>
      </c>
      <c r="Q66" s="9"/>
      <c r="S66">
        <v>1</v>
      </c>
    </row>
    <row r="67" spans="1:20" x14ac:dyDescent="0.25">
      <c r="A67">
        <v>66</v>
      </c>
      <c r="B67">
        <v>6</v>
      </c>
      <c r="C67">
        <v>45043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J67">
        <v>0</v>
      </c>
      <c r="K67" t="s">
        <v>20</v>
      </c>
      <c r="L67" t="s">
        <v>20</v>
      </c>
      <c r="M67">
        <v>1</v>
      </c>
      <c r="N67">
        <f t="shared" ref="N67:N89" si="2">O67+P67</f>
        <v>117</v>
      </c>
      <c r="O67">
        <v>58</v>
      </c>
      <c r="P67">
        <v>59</v>
      </c>
      <c r="Q67" s="9">
        <f t="shared" ref="Q67:Q89" si="3">(O67-P67)/(O67+P67)</f>
        <v>-8.5470085470085479E-3</v>
      </c>
      <c r="R67" t="s">
        <v>23</v>
      </c>
      <c r="S67" t="s">
        <v>24</v>
      </c>
    </row>
    <row r="68" spans="1:20" x14ac:dyDescent="0.25">
      <c r="A68">
        <v>67</v>
      </c>
      <c r="B68">
        <v>6</v>
      </c>
      <c r="C68">
        <v>45043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J68">
        <v>0</v>
      </c>
      <c r="K68" t="s">
        <v>20</v>
      </c>
      <c r="L68" t="s">
        <v>20</v>
      </c>
      <c r="M68">
        <v>1</v>
      </c>
      <c r="N68">
        <f t="shared" si="2"/>
        <v>27</v>
      </c>
      <c r="O68">
        <v>22</v>
      </c>
      <c r="P68">
        <v>5</v>
      </c>
      <c r="Q68" s="9">
        <f t="shared" si="3"/>
        <v>0.62962962962962965</v>
      </c>
      <c r="R68" t="s">
        <v>22</v>
      </c>
      <c r="S68" t="s">
        <v>24</v>
      </c>
    </row>
    <row r="69" spans="1:20" x14ac:dyDescent="0.25">
      <c r="A69">
        <v>68</v>
      </c>
      <c r="B69">
        <v>6</v>
      </c>
      <c r="C69">
        <v>45043</v>
      </c>
      <c r="E69" t="s">
        <v>18</v>
      </c>
      <c r="F69" t="s">
        <v>19</v>
      </c>
      <c r="G69" t="s">
        <v>20</v>
      </c>
      <c r="H69" t="s">
        <v>26</v>
      </c>
      <c r="I69" t="s">
        <v>27</v>
      </c>
      <c r="J69">
        <v>2.0000000000000001E-4</v>
      </c>
      <c r="K69" t="s">
        <v>20</v>
      </c>
      <c r="L69" t="s">
        <v>20</v>
      </c>
      <c r="M69">
        <v>1</v>
      </c>
      <c r="N69">
        <f t="shared" si="2"/>
        <v>71</v>
      </c>
      <c r="O69">
        <v>0</v>
      </c>
      <c r="P69">
        <v>71</v>
      </c>
      <c r="Q69" s="9">
        <f t="shared" si="3"/>
        <v>-1</v>
      </c>
      <c r="R69" t="s">
        <v>23</v>
      </c>
      <c r="S69" t="s">
        <v>24</v>
      </c>
    </row>
    <row r="70" spans="1:20" x14ac:dyDescent="0.25">
      <c r="A70">
        <v>69</v>
      </c>
      <c r="B70">
        <v>6</v>
      </c>
      <c r="C70">
        <v>45043</v>
      </c>
      <c r="E70" t="s">
        <v>18</v>
      </c>
      <c r="F70" t="s">
        <v>19</v>
      </c>
      <c r="G70" t="s">
        <v>20</v>
      </c>
      <c r="H70" t="s">
        <v>26</v>
      </c>
      <c r="I70" t="s">
        <v>27</v>
      </c>
      <c r="J70">
        <v>2.0000000000000001E-4</v>
      </c>
      <c r="K70" t="s">
        <v>20</v>
      </c>
      <c r="L70" t="s">
        <v>20</v>
      </c>
      <c r="M70">
        <v>1</v>
      </c>
      <c r="N70">
        <f t="shared" si="2"/>
        <v>107</v>
      </c>
      <c r="O70">
        <v>58</v>
      </c>
      <c r="P70">
        <v>49</v>
      </c>
      <c r="Q70" s="9">
        <f t="shared" si="3"/>
        <v>8.4112149532710276E-2</v>
      </c>
      <c r="R70" t="s">
        <v>22</v>
      </c>
      <c r="S70" t="s">
        <v>24</v>
      </c>
    </row>
    <row r="71" spans="1:20" x14ac:dyDescent="0.25">
      <c r="A71">
        <v>70</v>
      </c>
      <c r="B71">
        <v>6</v>
      </c>
      <c r="C71">
        <v>45043</v>
      </c>
      <c r="E71" t="s">
        <v>18</v>
      </c>
      <c r="F71" t="s">
        <v>19</v>
      </c>
      <c r="G71" t="s">
        <v>20</v>
      </c>
      <c r="H71" t="s">
        <v>26</v>
      </c>
      <c r="I71" t="s">
        <v>27</v>
      </c>
      <c r="J71">
        <v>2.0000000000000001E-4</v>
      </c>
      <c r="K71" t="s">
        <v>20</v>
      </c>
      <c r="L71" t="s">
        <v>20</v>
      </c>
      <c r="M71">
        <v>1</v>
      </c>
      <c r="N71">
        <f t="shared" si="2"/>
        <v>65</v>
      </c>
      <c r="O71">
        <v>31</v>
      </c>
      <c r="P71">
        <v>34</v>
      </c>
      <c r="Q71" s="9">
        <f t="shared" si="3"/>
        <v>-4.6153846153846156E-2</v>
      </c>
      <c r="R71" t="s">
        <v>23</v>
      </c>
      <c r="S71" t="s">
        <v>24</v>
      </c>
    </row>
    <row r="72" spans="1:20" x14ac:dyDescent="0.25">
      <c r="A72">
        <v>71</v>
      </c>
      <c r="B72">
        <v>6</v>
      </c>
      <c r="C72">
        <v>45043</v>
      </c>
      <c r="E72" t="s">
        <v>18</v>
      </c>
      <c r="F72" t="s">
        <v>19</v>
      </c>
      <c r="G72" t="s">
        <v>20</v>
      </c>
      <c r="H72" t="s">
        <v>26</v>
      </c>
      <c r="I72" t="s">
        <v>27</v>
      </c>
      <c r="J72">
        <v>2.0000000000000001E-4</v>
      </c>
      <c r="K72" t="s">
        <v>20</v>
      </c>
      <c r="L72" t="s">
        <v>20</v>
      </c>
      <c r="M72">
        <v>1</v>
      </c>
      <c r="N72">
        <f t="shared" si="2"/>
        <v>16</v>
      </c>
      <c r="O72">
        <v>16</v>
      </c>
      <c r="P72">
        <v>0</v>
      </c>
      <c r="Q72" s="9">
        <f t="shared" si="3"/>
        <v>1</v>
      </c>
      <c r="R72" t="s">
        <v>22</v>
      </c>
      <c r="S72" t="s">
        <v>24</v>
      </c>
    </row>
    <row r="73" spans="1:20" x14ac:dyDescent="0.25">
      <c r="A73">
        <v>72</v>
      </c>
      <c r="B73">
        <v>6</v>
      </c>
      <c r="C73">
        <v>45043</v>
      </c>
      <c r="E73" t="s">
        <v>18</v>
      </c>
      <c r="F73" t="s">
        <v>19</v>
      </c>
      <c r="G73" t="s">
        <v>20</v>
      </c>
      <c r="H73" t="s">
        <v>26</v>
      </c>
      <c r="I73" t="s">
        <v>27</v>
      </c>
      <c r="J73">
        <v>2.0000000000000001E-4</v>
      </c>
      <c r="K73" t="s">
        <v>20</v>
      </c>
      <c r="L73" t="s">
        <v>20</v>
      </c>
      <c r="M73">
        <v>1</v>
      </c>
      <c r="N73">
        <f t="shared" si="2"/>
        <v>33</v>
      </c>
      <c r="O73">
        <v>9</v>
      </c>
      <c r="P73">
        <v>24</v>
      </c>
      <c r="Q73" s="9">
        <f t="shared" si="3"/>
        <v>-0.45454545454545453</v>
      </c>
      <c r="R73" t="s">
        <v>23</v>
      </c>
      <c r="S73" t="s">
        <v>24</v>
      </c>
    </row>
    <row r="74" spans="1:20" x14ac:dyDescent="0.25">
      <c r="A74">
        <v>73</v>
      </c>
      <c r="B74">
        <v>6</v>
      </c>
      <c r="C74">
        <v>45043</v>
      </c>
      <c r="E74" t="s">
        <v>18</v>
      </c>
      <c r="F74" t="s">
        <v>19</v>
      </c>
      <c r="G74" t="s">
        <v>20</v>
      </c>
      <c r="H74" t="s">
        <v>26</v>
      </c>
      <c r="I74" t="s">
        <v>27</v>
      </c>
      <c r="J74">
        <v>2.0000000000000001E-4</v>
      </c>
      <c r="K74" t="s">
        <v>20</v>
      </c>
      <c r="L74" t="s">
        <v>20</v>
      </c>
      <c r="M74">
        <v>1</v>
      </c>
      <c r="N74">
        <f t="shared" si="2"/>
        <v>32</v>
      </c>
      <c r="O74">
        <v>32</v>
      </c>
      <c r="P74">
        <v>0</v>
      </c>
      <c r="Q74" s="9">
        <f t="shared" si="3"/>
        <v>1</v>
      </c>
      <c r="R74" t="s">
        <v>22</v>
      </c>
      <c r="S74" t="s">
        <v>24</v>
      </c>
      <c r="T74" t="s">
        <v>28</v>
      </c>
    </row>
    <row r="75" spans="1:20" x14ac:dyDescent="0.25">
      <c r="A75">
        <v>74</v>
      </c>
      <c r="B75">
        <v>6</v>
      </c>
      <c r="C75">
        <v>45043</v>
      </c>
      <c r="E75" t="s">
        <v>18</v>
      </c>
      <c r="F75" t="s">
        <v>19</v>
      </c>
      <c r="G75" t="s">
        <v>20</v>
      </c>
      <c r="H75" t="s">
        <v>26</v>
      </c>
      <c r="I75" t="s">
        <v>27</v>
      </c>
      <c r="J75">
        <v>2.0000000000000001E-4</v>
      </c>
      <c r="K75" t="s">
        <v>20</v>
      </c>
      <c r="L75" t="s">
        <v>25</v>
      </c>
      <c r="M75">
        <v>0</v>
      </c>
      <c r="Q75" s="9"/>
      <c r="S75">
        <v>1</v>
      </c>
    </row>
    <row r="76" spans="1:20" x14ac:dyDescent="0.25">
      <c r="A76">
        <v>75</v>
      </c>
      <c r="B76">
        <v>6</v>
      </c>
      <c r="C76">
        <v>45043</v>
      </c>
      <c r="E76" t="s">
        <v>18</v>
      </c>
      <c r="F76" t="s">
        <v>19</v>
      </c>
      <c r="G76" t="s">
        <v>20</v>
      </c>
      <c r="H76" t="s">
        <v>26</v>
      </c>
      <c r="I76" t="s">
        <v>27</v>
      </c>
      <c r="J76">
        <v>2.0000000000000001E-4</v>
      </c>
      <c r="K76" t="s">
        <v>20</v>
      </c>
      <c r="L76" t="s">
        <v>20</v>
      </c>
      <c r="M76">
        <v>1</v>
      </c>
      <c r="N76">
        <f t="shared" si="2"/>
        <v>69</v>
      </c>
      <c r="O76">
        <v>46</v>
      </c>
      <c r="P76">
        <v>23</v>
      </c>
      <c r="Q76" s="9">
        <f t="shared" si="3"/>
        <v>0.33333333333333331</v>
      </c>
      <c r="R76" t="s">
        <v>22</v>
      </c>
      <c r="S76" t="s">
        <v>24</v>
      </c>
      <c r="T76" t="s">
        <v>28</v>
      </c>
    </row>
    <row r="77" spans="1:20" x14ac:dyDescent="0.25">
      <c r="A77">
        <v>76</v>
      </c>
      <c r="B77">
        <v>6</v>
      </c>
      <c r="C77">
        <v>45043</v>
      </c>
      <c r="E77" t="s">
        <v>18</v>
      </c>
      <c r="F77" t="s">
        <v>19</v>
      </c>
      <c r="G77" t="s">
        <v>20</v>
      </c>
      <c r="H77" t="s">
        <v>29</v>
      </c>
      <c r="I77" t="s">
        <v>27</v>
      </c>
      <c r="J77">
        <v>2E-3</v>
      </c>
      <c r="K77" t="s">
        <v>20</v>
      </c>
      <c r="L77" t="s">
        <v>25</v>
      </c>
      <c r="M77">
        <v>0</v>
      </c>
      <c r="Q77" s="9"/>
      <c r="S77" t="s">
        <v>24</v>
      </c>
      <c r="T77" t="s">
        <v>28</v>
      </c>
    </row>
    <row r="78" spans="1:20" x14ac:dyDescent="0.25">
      <c r="A78">
        <v>77</v>
      </c>
      <c r="B78">
        <v>6</v>
      </c>
      <c r="C78">
        <v>45043</v>
      </c>
      <c r="E78" t="s">
        <v>18</v>
      </c>
      <c r="F78" t="s">
        <v>19</v>
      </c>
      <c r="G78" t="s">
        <v>20</v>
      </c>
      <c r="H78" t="s">
        <v>29</v>
      </c>
      <c r="I78" t="s">
        <v>27</v>
      </c>
      <c r="J78">
        <v>2E-3</v>
      </c>
      <c r="K78" t="s">
        <v>20</v>
      </c>
      <c r="L78" t="s">
        <v>20</v>
      </c>
      <c r="M78">
        <v>1</v>
      </c>
      <c r="N78">
        <f t="shared" si="2"/>
        <v>88</v>
      </c>
      <c r="O78">
        <v>8</v>
      </c>
      <c r="P78">
        <v>80</v>
      </c>
      <c r="Q78" s="9">
        <f t="shared" si="3"/>
        <v>-0.81818181818181823</v>
      </c>
      <c r="R78" t="s">
        <v>23</v>
      </c>
      <c r="S78" t="s">
        <v>24</v>
      </c>
    </row>
    <row r="79" spans="1:20" x14ac:dyDescent="0.25">
      <c r="A79">
        <v>78</v>
      </c>
      <c r="B79">
        <v>6</v>
      </c>
      <c r="C79">
        <v>45043</v>
      </c>
      <c r="E79" t="s">
        <v>18</v>
      </c>
      <c r="F79" t="s">
        <v>19</v>
      </c>
      <c r="G79" t="s">
        <v>20</v>
      </c>
      <c r="H79" t="s">
        <v>29</v>
      </c>
      <c r="I79" t="s">
        <v>27</v>
      </c>
      <c r="J79">
        <v>2E-3</v>
      </c>
      <c r="K79" t="s">
        <v>20</v>
      </c>
      <c r="L79" t="s">
        <v>20</v>
      </c>
      <c r="M79">
        <v>1</v>
      </c>
      <c r="N79">
        <f t="shared" si="2"/>
        <v>97</v>
      </c>
      <c r="O79">
        <v>81</v>
      </c>
      <c r="P79">
        <v>16</v>
      </c>
      <c r="Q79" s="9">
        <f t="shared" si="3"/>
        <v>0.67010309278350511</v>
      </c>
      <c r="R79" t="s">
        <v>22</v>
      </c>
      <c r="S79" t="s">
        <v>24</v>
      </c>
    </row>
    <row r="80" spans="1:20" x14ac:dyDescent="0.25">
      <c r="A80">
        <v>79</v>
      </c>
      <c r="B80">
        <v>6</v>
      </c>
      <c r="C80">
        <v>45043</v>
      </c>
      <c r="E80" t="s">
        <v>18</v>
      </c>
      <c r="F80" t="s">
        <v>19</v>
      </c>
      <c r="G80" t="s">
        <v>20</v>
      </c>
      <c r="H80" t="s">
        <v>29</v>
      </c>
      <c r="I80" t="s">
        <v>27</v>
      </c>
      <c r="J80">
        <v>2E-3</v>
      </c>
      <c r="K80" t="s">
        <v>20</v>
      </c>
      <c r="L80" t="s">
        <v>25</v>
      </c>
      <c r="M80">
        <v>0</v>
      </c>
      <c r="Q80" s="9"/>
      <c r="S80" t="s">
        <v>24</v>
      </c>
      <c r="T80" t="s">
        <v>28</v>
      </c>
    </row>
    <row r="81" spans="1:20" x14ac:dyDescent="0.25">
      <c r="A81">
        <v>80</v>
      </c>
      <c r="B81">
        <v>6</v>
      </c>
      <c r="C81">
        <v>45043</v>
      </c>
      <c r="E81" t="s">
        <v>18</v>
      </c>
      <c r="F81" t="s">
        <v>19</v>
      </c>
      <c r="G81" t="s">
        <v>20</v>
      </c>
      <c r="H81" t="s">
        <v>29</v>
      </c>
      <c r="I81" t="s">
        <v>27</v>
      </c>
      <c r="J81">
        <v>2E-3</v>
      </c>
      <c r="K81" t="s">
        <v>20</v>
      </c>
      <c r="L81" t="s">
        <v>25</v>
      </c>
      <c r="M81">
        <v>0</v>
      </c>
      <c r="Q81" s="9"/>
      <c r="S81">
        <v>0</v>
      </c>
    </row>
    <row r="82" spans="1:20" x14ac:dyDescent="0.25">
      <c r="A82">
        <v>81</v>
      </c>
      <c r="B82">
        <v>6</v>
      </c>
      <c r="C82">
        <v>45043</v>
      </c>
      <c r="E82" t="s">
        <v>18</v>
      </c>
      <c r="F82" t="s">
        <v>19</v>
      </c>
      <c r="G82" t="s">
        <v>20</v>
      </c>
      <c r="H82" t="s">
        <v>29</v>
      </c>
      <c r="I82" t="s">
        <v>27</v>
      </c>
      <c r="J82">
        <v>2E-3</v>
      </c>
      <c r="K82" t="s">
        <v>20</v>
      </c>
      <c r="L82" t="s">
        <v>20</v>
      </c>
      <c r="M82">
        <v>1</v>
      </c>
      <c r="N82">
        <f t="shared" si="2"/>
        <v>79</v>
      </c>
      <c r="O82">
        <v>0</v>
      </c>
      <c r="P82">
        <v>79</v>
      </c>
      <c r="Q82" s="9">
        <f t="shared" si="3"/>
        <v>-1</v>
      </c>
      <c r="R82" t="s">
        <v>23</v>
      </c>
      <c r="S82" t="s">
        <v>24</v>
      </c>
      <c r="T82" t="s">
        <v>28</v>
      </c>
    </row>
    <row r="83" spans="1:20" x14ac:dyDescent="0.25">
      <c r="A83">
        <v>82</v>
      </c>
      <c r="B83">
        <v>6</v>
      </c>
      <c r="C83">
        <v>45043</v>
      </c>
      <c r="E83" t="s">
        <v>18</v>
      </c>
      <c r="F83" t="s">
        <v>19</v>
      </c>
      <c r="G83" t="s">
        <v>20</v>
      </c>
      <c r="H83" t="s">
        <v>29</v>
      </c>
      <c r="I83" t="s">
        <v>27</v>
      </c>
      <c r="J83">
        <v>2E-3</v>
      </c>
      <c r="K83" t="s">
        <v>20</v>
      </c>
      <c r="L83" t="s">
        <v>20</v>
      </c>
      <c r="M83">
        <v>1</v>
      </c>
      <c r="N83">
        <f t="shared" si="2"/>
        <v>103</v>
      </c>
      <c r="O83">
        <v>0</v>
      </c>
      <c r="P83">
        <v>103</v>
      </c>
      <c r="Q83" s="9">
        <f t="shared" si="3"/>
        <v>-1</v>
      </c>
      <c r="R83" t="s">
        <v>23</v>
      </c>
      <c r="S83" t="s">
        <v>24</v>
      </c>
    </row>
    <row r="84" spans="1:20" x14ac:dyDescent="0.25">
      <c r="A84">
        <v>83</v>
      </c>
      <c r="B84">
        <v>6</v>
      </c>
      <c r="C84">
        <v>45043</v>
      </c>
      <c r="E84" t="s">
        <v>18</v>
      </c>
      <c r="F84" t="s">
        <v>19</v>
      </c>
      <c r="G84" t="s">
        <v>20</v>
      </c>
      <c r="H84" t="s">
        <v>29</v>
      </c>
      <c r="I84" t="s">
        <v>27</v>
      </c>
      <c r="J84">
        <v>2E-3</v>
      </c>
      <c r="K84" t="s">
        <v>20</v>
      </c>
      <c r="L84" t="s">
        <v>25</v>
      </c>
      <c r="M84">
        <v>0</v>
      </c>
      <c r="Q84" s="9"/>
      <c r="S84" t="s">
        <v>24</v>
      </c>
    </row>
    <row r="85" spans="1:20" x14ac:dyDescent="0.25">
      <c r="A85">
        <v>84</v>
      </c>
      <c r="B85">
        <v>6</v>
      </c>
      <c r="C85">
        <v>45043</v>
      </c>
      <c r="E85" t="s">
        <v>18</v>
      </c>
      <c r="F85" t="s">
        <v>30</v>
      </c>
      <c r="G85" t="s">
        <v>20</v>
      </c>
      <c r="H85" t="s">
        <v>31</v>
      </c>
      <c r="I85" t="s">
        <v>22</v>
      </c>
      <c r="J85">
        <v>0</v>
      </c>
      <c r="K85" t="s">
        <v>20</v>
      </c>
      <c r="L85" t="s">
        <v>25</v>
      </c>
      <c r="M85">
        <v>0</v>
      </c>
      <c r="Q85" s="9"/>
      <c r="S85" t="s">
        <v>24</v>
      </c>
      <c r="T85" t="s">
        <v>33</v>
      </c>
    </row>
    <row r="86" spans="1:20" x14ac:dyDescent="0.25">
      <c r="A86">
        <v>85</v>
      </c>
      <c r="B86">
        <v>6</v>
      </c>
      <c r="C86">
        <v>45043</v>
      </c>
      <c r="E86" t="s">
        <v>18</v>
      </c>
      <c r="F86" t="s">
        <v>30</v>
      </c>
      <c r="G86" t="s">
        <v>20</v>
      </c>
      <c r="H86" t="s">
        <v>31</v>
      </c>
      <c r="I86" t="s">
        <v>22</v>
      </c>
      <c r="J86">
        <v>0</v>
      </c>
      <c r="K86" t="s">
        <v>20</v>
      </c>
      <c r="L86" t="s">
        <v>25</v>
      </c>
      <c r="M86">
        <v>0</v>
      </c>
      <c r="Q86" s="9"/>
      <c r="S86" t="s">
        <v>24</v>
      </c>
      <c r="T86" t="s">
        <v>28</v>
      </c>
    </row>
    <row r="87" spans="1:20" x14ac:dyDescent="0.25">
      <c r="A87">
        <v>86</v>
      </c>
      <c r="B87">
        <v>6</v>
      </c>
      <c r="C87">
        <v>45043</v>
      </c>
      <c r="E87" t="s">
        <v>18</v>
      </c>
      <c r="F87" t="s">
        <v>30</v>
      </c>
      <c r="G87" t="s">
        <v>20</v>
      </c>
      <c r="H87" t="s">
        <v>31</v>
      </c>
      <c r="I87" t="s">
        <v>22</v>
      </c>
      <c r="J87">
        <v>0</v>
      </c>
      <c r="K87" t="s">
        <v>20</v>
      </c>
      <c r="L87" t="s">
        <v>25</v>
      </c>
      <c r="M87">
        <v>0</v>
      </c>
      <c r="Q87" s="9"/>
      <c r="S87">
        <v>0</v>
      </c>
    </row>
    <row r="88" spans="1:20" x14ac:dyDescent="0.25">
      <c r="A88">
        <v>87</v>
      </c>
      <c r="B88">
        <v>6</v>
      </c>
      <c r="C88">
        <v>45043</v>
      </c>
      <c r="E88" t="s">
        <v>18</v>
      </c>
      <c r="F88" t="s">
        <v>30</v>
      </c>
      <c r="G88" t="s">
        <v>20</v>
      </c>
      <c r="H88" t="s">
        <v>31</v>
      </c>
      <c r="I88" t="s">
        <v>22</v>
      </c>
      <c r="J88">
        <v>0</v>
      </c>
      <c r="K88" t="s">
        <v>20</v>
      </c>
      <c r="L88" t="s">
        <v>20</v>
      </c>
      <c r="M88">
        <v>1</v>
      </c>
      <c r="N88">
        <f t="shared" si="2"/>
        <v>65</v>
      </c>
      <c r="O88">
        <v>0</v>
      </c>
      <c r="P88">
        <v>65</v>
      </c>
      <c r="Q88" s="9">
        <f t="shared" si="3"/>
        <v>-1</v>
      </c>
      <c r="R88" t="s">
        <v>23</v>
      </c>
      <c r="S88" t="s">
        <v>24</v>
      </c>
    </row>
    <row r="89" spans="1:20" x14ac:dyDescent="0.25">
      <c r="A89">
        <v>88</v>
      </c>
      <c r="B89">
        <v>6</v>
      </c>
      <c r="C89">
        <v>45043</v>
      </c>
      <c r="E89" t="s">
        <v>18</v>
      </c>
      <c r="F89" t="s">
        <v>30</v>
      </c>
      <c r="G89" t="s">
        <v>20</v>
      </c>
      <c r="H89" t="s">
        <v>31</v>
      </c>
      <c r="I89" t="s">
        <v>22</v>
      </c>
      <c r="J89">
        <v>0</v>
      </c>
      <c r="K89" t="s">
        <v>20</v>
      </c>
      <c r="L89" t="s">
        <v>20</v>
      </c>
      <c r="M89">
        <v>1</v>
      </c>
      <c r="N89">
        <f t="shared" si="2"/>
        <v>106</v>
      </c>
      <c r="O89">
        <v>106</v>
      </c>
      <c r="P89">
        <v>0</v>
      </c>
      <c r="Q89" s="9">
        <f t="shared" si="3"/>
        <v>1</v>
      </c>
      <c r="R89" t="s">
        <v>22</v>
      </c>
      <c r="S89" t="s">
        <v>24</v>
      </c>
    </row>
    <row r="90" spans="1:20" x14ac:dyDescent="0.25">
      <c r="A90">
        <v>89</v>
      </c>
      <c r="B90">
        <v>6</v>
      </c>
      <c r="C90">
        <v>45043</v>
      </c>
      <c r="E90" t="s">
        <v>18</v>
      </c>
      <c r="F90" t="s">
        <v>30</v>
      </c>
      <c r="G90" t="s">
        <v>20</v>
      </c>
      <c r="H90" t="s">
        <v>31</v>
      </c>
      <c r="I90" t="s">
        <v>22</v>
      </c>
      <c r="J90">
        <v>0</v>
      </c>
      <c r="K90" t="s">
        <v>20</v>
      </c>
      <c r="L90" t="s">
        <v>25</v>
      </c>
      <c r="M90">
        <v>0</v>
      </c>
      <c r="Q90" s="9"/>
      <c r="S90">
        <v>0</v>
      </c>
    </row>
  </sheetData>
  <autoFilter ref="A1:T90"/>
  <conditionalFormatting sqref="J1:K1">
    <cfRule type="cellIs" dxfId="14" priority="1" operator="equal">
      <formula>0</formula>
    </cfRule>
    <cfRule type="cellIs" dxfId="13" priority="2" operator="equal">
      <formula>0.02</formula>
    </cfRule>
    <cfRule type="cellIs" dxfId="12" priority="3" operator="equal">
      <formula>0.002</formula>
    </cfRule>
    <cfRule type="cellIs" dxfId="11" priority="4" operator="equal">
      <formula>0.0002</formula>
    </cfRule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{E3F111E9-9FBB-4A3C-8B69-FBBA864271F4}</x14:id>
        </ext>
      </extLst>
    </cfRule>
  </conditionalFormatting>
  <conditionalFormatting sqref="A1:I1 L1:T1">
    <cfRule type="expression" dxfId="10" priority="6">
      <formula>AND(#REF!=0,#REF!="***")</formula>
    </cfRule>
    <cfRule type="expression" dxfId="9" priority="7">
      <formula>AND(#REF!=0,#REF!="**")</formula>
    </cfRule>
    <cfRule type="expression" dxfId="8" priority="8">
      <formula>AND(#REF!=0,#REF!="*")</formula>
    </cfRule>
    <cfRule type="expression" dxfId="7" priority="9">
      <formula>#REF!="***"</formula>
    </cfRule>
    <cfRule type="expression" dxfId="6" priority="10">
      <formula>#REF!="**"</formula>
    </cfRule>
    <cfRule type="expression" dxfId="5" priority="11">
      <formula>#REF!="*"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F111E9-9FBB-4A3C-8B69-FBBA864271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J1:K1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3" sqref="A3"/>
    </sheetView>
  </sheetViews>
  <sheetFormatPr baseColWidth="10" defaultRowHeight="15" x14ac:dyDescent="0.25"/>
  <cols>
    <col min="1" max="1" width="24.42578125" customWidth="1"/>
    <col min="2" max="2" width="23.85546875" customWidth="1"/>
    <col min="3" max="3" width="7" customWidth="1"/>
    <col min="4" max="4" width="6" customWidth="1"/>
    <col min="5" max="5" width="12.5703125" customWidth="1"/>
    <col min="6" max="6" width="22.85546875" customWidth="1"/>
    <col min="7" max="7" width="21.85546875" bestFit="1" customWidth="1"/>
  </cols>
  <sheetData>
    <row r="1" spans="1:5" x14ac:dyDescent="0.25">
      <c r="A1" s="10" t="s">
        <v>10</v>
      </c>
      <c r="B1" t="s">
        <v>20</v>
      </c>
    </row>
    <row r="3" spans="1:5" x14ac:dyDescent="0.25">
      <c r="A3" s="10" t="s">
        <v>41</v>
      </c>
      <c r="B3" s="21" t="s">
        <v>37</v>
      </c>
    </row>
    <row r="4" spans="1:5" x14ac:dyDescent="0.25">
      <c r="A4" s="10" t="s">
        <v>34</v>
      </c>
      <c r="B4" s="13">
        <v>0</v>
      </c>
      <c r="C4" s="13">
        <v>2.0000000000000001E-4</v>
      </c>
      <c r="D4" s="13">
        <v>2E-3</v>
      </c>
      <c r="E4" t="s">
        <v>35</v>
      </c>
    </row>
    <row r="5" spans="1:5" x14ac:dyDescent="0.25">
      <c r="A5" s="11" t="s">
        <v>22</v>
      </c>
      <c r="B5" s="17">
        <v>11</v>
      </c>
      <c r="C5" s="17">
        <v>9</v>
      </c>
      <c r="D5" s="17">
        <v>8</v>
      </c>
      <c r="E5" s="17">
        <v>28</v>
      </c>
    </row>
    <row r="6" spans="1:5" x14ac:dyDescent="0.25">
      <c r="A6" s="11" t="s">
        <v>23</v>
      </c>
      <c r="B6" s="17">
        <v>16</v>
      </c>
      <c r="C6" s="17">
        <v>13</v>
      </c>
      <c r="D6" s="17">
        <v>9</v>
      </c>
      <c r="E6" s="17">
        <v>38</v>
      </c>
    </row>
    <row r="7" spans="1:5" x14ac:dyDescent="0.25">
      <c r="A7" s="11" t="s">
        <v>24</v>
      </c>
      <c r="B7" s="17">
        <v>14</v>
      </c>
      <c r="C7" s="17">
        <v>2</v>
      </c>
      <c r="D7" s="17">
        <v>7</v>
      </c>
      <c r="E7" s="17">
        <v>23</v>
      </c>
    </row>
    <row r="8" spans="1:5" x14ac:dyDescent="0.25">
      <c r="A8" s="16" t="s">
        <v>35</v>
      </c>
      <c r="B8" s="17">
        <v>41</v>
      </c>
      <c r="C8" s="17">
        <v>24</v>
      </c>
      <c r="D8" s="17">
        <v>24</v>
      </c>
      <c r="E8" s="17">
        <v>89</v>
      </c>
    </row>
    <row r="11" spans="1:5" s="12" customFormat="1" x14ac:dyDescent="0.25"/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B4" sqref="B4"/>
    </sheetView>
  </sheetViews>
  <sheetFormatPr baseColWidth="10" defaultRowHeight="15" x14ac:dyDescent="0.25"/>
  <cols>
    <col min="1" max="1" width="21" bestFit="1" customWidth="1"/>
    <col min="2" max="2" width="23.85546875" customWidth="1"/>
    <col min="3" max="3" width="5.7109375" customWidth="1"/>
    <col min="4" max="4" width="15.28515625" customWidth="1"/>
    <col min="5" max="6" width="12.5703125" customWidth="1"/>
    <col min="7" max="7" width="12.5703125" bestFit="1" customWidth="1"/>
  </cols>
  <sheetData>
    <row r="1" spans="1:5" x14ac:dyDescent="0.25">
      <c r="A1" s="10" t="s">
        <v>10</v>
      </c>
      <c r="B1" t="s">
        <v>20</v>
      </c>
    </row>
    <row r="3" spans="1:5" x14ac:dyDescent="0.25">
      <c r="A3" s="10" t="s">
        <v>36</v>
      </c>
      <c r="B3" s="10" t="s">
        <v>37</v>
      </c>
    </row>
    <row r="4" spans="1:5" x14ac:dyDescent="0.25">
      <c r="A4" s="10" t="s">
        <v>34</v>
      </c>
      <c r="B4" t="s">
        <v>22</v>
      </c>
      <c r="C4" t="s">
        <v>23</v>
      </c>
      <c r="D4" t="s">
        <v>24</v>
      </c>
      <c r="E4" t="s">
        <v>35</v>
      </c>
    </row>
    <row r="5" spans="1:5" x14ac:dyDescent="0.25">
      <c r="A5" s="11">
        <v>0</v>
      </c>
      <c r="B5" s="9">
        <v>11</v>
      </c>
      <c r="C5" s="9">
        <v>16</v>
      </c>
      <c r="D5" s="9">
        <v>14</v>
      </c>
      <c r="E5" s="9">
        <v>41</v>
      </c>
    </row>
    <row r="6" spans="1:5" x14ac:dyDescent="0.25">
      <c r="A6" s="11">
        <v>2.0000000000000001E-4</v>
      </c>
      <c r="B6" s="9">
        <v>9</v>
      </c>
      <c r="C6" s="9">
        <v>13</v>
      </c>
      <c r="D6" s="9">
        <v>2</v>
      </c>
      <c r="E6" s="9">
        <v>24</v>
      </c>
    </row>
    <row r="7" spans="1:5" x14ac:dyDescent="0.25">
      <c r="A7" s="11">
        <v>2E-3</v>
      </c>
      <c r="B7" s="9">
        <v>8</v>
      </c>
      <c r="C7" s="9">
        <v>9</v>
      </c>
      <c r="D7" s="9">
        <v>7</v>
      </c>
      <c r="E7" s="9">
        <v>24</v>
      </c>
    </row>
    <row r="8" spans="1:5" x14ac:dyDescent="0.25">
      <c r="A8" s="11" t="s">
        <v>35</v>
      </c>
      <c r="B8" s="9">
        <v>28</v>
      </c>
      <c r="C8" s="9">
        <v>38</v>
      </c>
      <c r="D8" s="9">
        <v>23</v>
      </c>
      <c r="E8" s="9">
        <v>89</v>
      </c>
    </row>
    <row r="11" spans="1:5" s="12" customFormat="1" x14ac:dyDescent="0.25">
      <c r="A11" s="15"/>
      <c r="B11" s="15" t="s">
        <v>22</v>
      </c>
      <c r="C11" s="15" t="s">
        <v>23</v>
      </c>
      <c r="D11" s="14" t="s">
        <v>38</v>
      </c>
      <c r="E11" s="19" t="s">
        <v>35</v>
      </c>
    </row>
    <row r="12" spans="1:5" x14ac:dyDescent="0.25">
      <c r="A12" s="18">
        <v>0</v>
      </c>
      <c r="B12" s="17">
        <v>11</v>
      </c>
      <c r="C12" s="17">
        <v>16</v>
      </c>
      <c r="D12" s="17">
        <v>14</v>
      </c>
      <c r="E12" s="13">
        <v>41</v>
      </c>
    </row>
    <row r="13" spans="1:5" x14ac:dyDescent="0.25">
      <c r="A13" s="18">
        <v>2.0000000000000001E-4</v>
      </c>
      <c r="B13" s="17">
        <v>9</v>
      </c>
      <c r="C13" s="17">
        <v>13</v>
      </c>
      <c r="D13" s="17">
        <v>2</v>
      </c>
      <c r="E13" s="13">
        <v>24</v>
      </c>
    </row>
    <row r="14" spans="1:5" x14ac:dyDescent="0.25">
      <c r="A14" s="18">
        <v>2E-3</v>
      </c>
      <c r="B14" s="17">
        <v>8</v>
      </c>
      <c r="C14" s="17">
        <v>9</v>
      </c>
      <c r="D14" s="17">
        <v>7</v>
      </c>
      <c r="E14" s="13">
        <v>24</v>
      </c>
    </row>
    <row r="15" spans="1:5" x14ac:dyDescent="0.25">
      <c r="A15" s="14" t="s">
        <v>35</v>
      </c>
      <c r="B15" s="13">
        <v>28</v>
      </c>
      <c r="C15" s="13">
        <v>38</v>
      </c>
      <c r="D15" s="13">
        <v>23</v>
      </c>
      <c r="E15" s="13">
        <v>89</v>
      </c>
    </row>
    <row r="17" spans="1:4" x14ac:dyDescent="0.25">
      <c r="A17" s="13"/>
      <c r="B17" s="14" t="s">
        <v>22</v>
      </c>
      <c r="C17" s="14" t="s">
        <v>23</v>
      </c>
      <c r="D17" s="14" t="s">
        <v>38</v>
      </c>
    </row>
    <row r="18" spans="1:4" x14ac:dyDescent="0.25">
      <c r="A18" s="14">
        <v>0</v>
      </c>
      <c r="B18" s="13">
        <f>B12/$E12</f>
        <v>0.26829268292682928</v>
      </c>
      <c r="C18" s="13">
        <f t="shared" ref="C18:D18" si="0">C12/$E12</f>
        <v>0.3902439024390244</v>
      </c>
      <c r="D18" s="13">
        <f t="shared" si="0"/>
        <v>0.34146341463414637</v>
      </c>
    </row>
    <row r="19" spans="1:4" x14ac:dyDescent="0.25">
      <c r="A19" s="14">
        <v>2.0000000000000001E-4</v>
      </c>
      <c r="B19" s="13">
        <f>B13/$E13</f>
        <v>0.375</v>
      </c>
      <c r="C19" s="13">
        <f t="shared" ref="C19:D19" si="1">C13/$E13</f>
        <v>0.54166666666666663</v>
      </c>
      <c r="D19" s="13">
        <f t="shared" si="1"/>
        <v>8.3333333333333329E-2</v>
      </c>
    </row>
    <row r="20" spans="1:4" x14ac:dyDescent="0.25">
      <c r="A20" s="14">
        <v>2E-3</v>
      </c>
      <c r="B20" s="13">
        <f t="shared" ref="B20:D20" si="2">B14/$E14</f>
        <v>0.33333333333333331</v>
      </c>
      <c r="C20" s="13">
        <f t="shared" si="2"/>
        <v>0.375</v>
      </c>
      <c r="D20" s="13">
        <f t="shared" si="2"/>
        <v>0.29166666666666669</v>
      </c>
    </row>
    <row r="26" spans="1:4" x14ac:dyDescent="0.25">
      <c r="A26" s="20" t="s">
        <v>39</v>
      </c>
    </row>
    <row r="27" spans="1:4" x14ac:dyDescent="0.25">
      <c r="B27">
        <v>0</v>
      </c>
      <c r="C27">
        <v>2.0000000000000001E-4</v>
      </c>
      <c r="D27">
        <v>2E-3</v>
      </c>
    </row>
    <row r="28" spans="1:4" x14ac:dyDescent="0.25">
      <c r="A28" t="s">
        <v>22</v>
      </c>
      <c r="B28">
        <v>0.26829268292682928</v>
      </c>
      <c r="C28">
        <v>0.375</v>
      </c>
      <c r="D28">
        <v>0.33333333333333331</v>
      </c>
    </row>
    <row r="29" spans="1:4" x14ac:dyDescent="0.25">
      <c r="A29" t="s">
        <v>23</v>
      </c>
      <c r="B29">
        <v>0.3902439024390244</v>
      </c>
      <c r="C29">
        <v>0.54166666666666663</v>
      </c>
      <c r="D29">
        <v>0.375</v>
      </c>
    </row>
    <row r="30" spans="1:4" x14ac:dyDescent="0.25">
      <c r="A30" t="s">
        <v>38</v>
      </c>
      <c r="B30">
        <v>0.34146341463414637</v>
      </c>
      <c r="C30">
        <v>8.3333333333333329E-2</v>
      </c>
      <c r="D30">
        <v>0.29166666666666669</v>
      </c>
    </row>
    <row r="33" spans="1:4" x14ac:dyDescent="0.25">
      <c r="A33" s="20" t="s">
        <v>40</v>
      </c>
    </row>
    <row r="34" spans="1:4" x14ac:dyDescent="0.25">
      <c r="B34">
        <v>0</v>
      </c>
      <c r="C34">
        <v>2.0000000000000001E-4</v>
      </c>
      <c r="D34">
        <v>2E-3</v>
      </c>
    </row>
    <row r="35" spans="1:4" x14ac:dyDescent="0.25">
      <c r="A35" t="s">
        <v>22</v>
      </c>
    </row>
    <row r="36" spans="1:4" x14ac:dyDescent="0.25">
      <c r="A36" t="s">
        <v>23</v>
      </c>
    </row>
    <row r="37" spans="1:4" x14ac:dyDescent="0.25">
      <c r="A37" t="s">
        <v>38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9" sqref="A9:B13"/>
    </sheetView>
  </sheetViews>
  <sheetFormatPr baseColWidth="10" defaultRowHeight="15" x14ac:dyDescent="0.25"/>
  <sheetData>
    <row r="1" spans="1:4" x14ac:dyDescent="0.25">
      <c r="B1" t="s">
        <v>42</v>
      </c>
      <c r="C1" t="s">
        <v>43</v>
      </c>
      <c r="D1" t="s">
        <v>44</v>
      </c>
    </row>
    <row r="2" spans="1:4" x14ac:dyDescent="0.25">
      <c r="A2" t="s">
        <v>45</v>
      </c>
      <c r="B2">
        <v>18</v>
      </c>
      <c r="C2">
        <v>12</v>
      </c>
      <c r="D2">
        <v>6</v>
      </c>
    </row>
    <row r="3" spans="1:4" x14ac:dyDescent="0.25">
      <c r="A3" t="s">
        <v>46</v>
      </c>
      <c r="B3">
        <v>23</v>
      </c>
      <c r="C3">
        <v>15</v>
      </c>
      <c r="D3">
        <v>8</v>
      </c>
    </row>
    <row r="4" spans="1:4" x14ac:dyDescent="0.25">
      <c r="A4" t="s">
        <v>47</v>
      </c>
      <c r="B4">
        <v>24</v>
      </c>
      <c r="C4">
        <v>22</v>
      </c>
      <c r="D4">
        <v>2</v>
      </c>
    </row>
    <row r="5" spans="1:4" x14ac:dyDescent="0.25">
      <c r="A5" t="s">
        <v>48</v>
      </c>
      <c r="B5">
        <v>24</v>
      </c>
      <c r="C5">
        <v>17</v>
      </c>
      <c r="D5">
        <v>7</v>
      </c>
    </row>
    <row r="9" spans="1:4" x14ac:dyDescent="0.25">
      <c r="B9" t="s">
        <v>43</v>
      </c>
    </row>
    <row r="10" spans="1:4" x14ac:dyDescent="0.25">
      <c r="A10" t="s">
        <v>45</v>
      </c>
      <c r="B10">
        <f>C2/$B2</f>
        <v>0.66666666666666663</v>
      </c>
    </row>
    <row r="11" spans="1:4" x14ac:dyDescent="0.25">
      <c r="A11" t="s">
        <v>46</v>
      </c>
      <c r="B11">
        <f t="shared" ref="B11:B13" si="0">C3/$B3</f>
        <v>0.65217391304347827</v>
      </c>
    </row>
    <row r="12" spans="1:4" x14ac:dyDescent="0.25">
      <c r="A12" t="s">
        <v>47</v>
      </c>
      <c r="B12">
        <f t="shared" si="0"/>
        <v>0.91666666666666663</v>
      </c>
    </row>
    <row r="13" spans="1:4" x14ac:dyDescent="0.25">
      <c r="A13" t="s">
        <v>48</v>
      </c>
      <c r="B13">
        <f t="shared" si="0"/>
        <v>0.70833333333333337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 (2)</vt:lpstr>
      <vt:lpstr>Feuil2</vt:lpstr>
      <vt:lpstr>Feuil4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dcterms:created xsi:type="dcterms:W3CDTF">2023-05-03T08:18:32Z</dcterms:created>
  <dcterms:modified xsi:type="dcterms:W3CDTF">2024-02-08T11:25:16Z</dcterms:modified>
</cp:coreProperties>
</file>