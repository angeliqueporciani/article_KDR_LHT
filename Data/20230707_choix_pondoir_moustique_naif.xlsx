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lente\ownCloud\A_manip_comportement_MIVEGEC 2018-19-20\20221017_Manip_gîtes_larvaires\20230705_Manip_pondoir_forte_concentration\"/>
    </mc:Choice>
  </mc:AlternateContent>
  <bookViews>
    <workbookView xWindow="0" yWindow="1800" windowWidth="14970" windowHeight="6405" activeTab="1"/>
  </bookViews>
  <sheets>
    <sheet name="donnees" sheetId="1" r:id="rId1"/>
    <sheet name="Feuil3" sheetId="3" r:id="rId2"/>
    <sheet name="Feuil2" sheetId="2" r:id="rId3"/>
  </sheets>
  <definedNames>
    <definedName name="_xlnm._FilterDatabase" localSheetId="0" hidden="1">donnees!$A$1:$O$201</definedName>
  </definedNames>
  <calcPr calcId="162913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99" i="1" l="1"/>
  <c r="L198" i="1"/>
  <c r="L197" i="1"/>
  <c r="L196" i="1"/>
  <c r="L194" i="1"/>
  <c r="L193" i="1"/>
  <c r="L191" i="1"/>
  <c r="L189" i="1"/>
  <c r="L188" i="1"/>
  <c r="L187" i="1"/>
  <c r="L186" i="1"/>
  <c r="L185" i="1"/>
  <c r="L183" i="1"/>
  <c r="L182" i="1"/>
  <c r="L181" i="1"/>
  <c r="L179" i="1"/>
  <c r="L178" i="1"/>
  <c r="L177" i="1"/>
  <c r="L176" i="1"/>
  <c r="L175" i="1"/>
  <c r="L174" i="1"/>
  <c r="L172" i="1"/>
  <c r="L171" i="1"/>
  <c r="L170" i="1"/>
  <c r="L169" i="1"/>
  <c r="L168" i="1"/>
  <c r="L167" i="1"/>
  <c r="L166" i="1"/>
  <c r="L165" i="1"/>
  <c r="L164" i="1"/>
  <c r="L119" i="1" l="1"/>
  <c r="L161" i="1"/>
  <c r="L160" i="1"/>
  <c r="L153" i="1"/>
  <c r="L149" i="1"/>
  <c r="L148" i="1"/>
  <c r="L144" i="1"/>
  <c r="L140" i="1"/>
  <c r="L137" i="1"/>
  <c r="L134" i="1"/>
  <c r="L133" i="1"/>
  <c r="L129" i="1"/>
  <c r="L126" i="1"/>
  <c r="L125" i="1"/>
  <c r="L124" i="1"/>
  <c r="L123" i="1"/>
  <c r="L121" i="1"/>
  <c r="L97" i="1" l="1"/>
  <c r="L109" i="1"/>
  <c r="L111" i="1"/>
  <c r="L113" i="1"/>
  <c r="L116" i="1"/>
  <c r="L118" i="1"/>
  <c r="L120" i="1"/>
  <c r="L103" i="1"/>
  <c r="L100" i="1"/>
  <c r="L85" i="1"/>
  <c r="L84" i="1"/>
  <c r="L86" i="1"/>
  <c r="L87" i="1"/>
  <c r="L89" i="1"/>
  <c r="L92" i="1"/>
  <c r="L98" i="1"/>
  <c r="L99" i="1"/>
  <c r="L102" i="1"/>
  <c r="L105" i="1"/>
  <c r="L107" i="1"/>
  <c r="L43" i="1"/>
  <c r="L44" i="1"/>
  <c r="L45" i="1"/>
  <c r="L46" i="1"/>
  <c r="L47" i="1"/>
  <c r="L50" i="1"/>
  <c r="L53" i="1"/>
  <c r="L57" i="1"/>
  <c r="L59" i="1"/>
  <c r="L60" i="1"/>
  <c r="L61" i="1"/>
  <c r="L63" i="1"/>
  <c r="L67" i="1"/>
  <c r="L69" i="1"/>
  <c r="L70" i="1"/>
  <c r="L71" i="1"/>
  <c r="L72" i="1"/>
  <c r="L74" i="1"/>
  <c r="L75" i="1"/>
  <c r="L77" i="1"/>
  <c r="L78" i="1"/>
  <c r="L80" i="1"/>
  <c r="L81" i="1"/>
  <c r="L37" i="1"/>
  <c r="L39" i="1"/>
  <c r="L41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15" i="1"/>
  <c r="L17" i="1"/>
  <c r="L18" i="1"/>
  <c r="L20" i="1"/>
  <c r="L21" i="1"/>
  <c r="L14" i="1"/>
  <c r="L13" i="1"/>
  <c r="L12" i="1"/>
  <c r="L2" i="1"/>
  <c r="L3" i="1"/>
  <c r="L4" i="1"/>
  <c r="L6" i="1"/>
  <c r="L7" i="1"/>
  <c r="L8" i="1"/>
  <c r="L9" i="1"/>
  <c r="L10" i="1"/>
  <c r="L11" i="1"/>
</calcChain>
</file>

<file path=xl/sharedStrings.xml><?xml version="1.0" encoding="utf-8"?>
<sst xmlns="http://schemas.openxmlformats.org/spreadsheetml/2006/main" count="1395" uniqueCount="38">
  <si>
    <t>N°</t>
  </si>
  <si>
    <t>replicat</t>
  </si>
  <si>
    <t>date_gorgement</t>
  </si>
  <si>
    <t>age</t>
  </si>
  <si>
    <t>espece</t>
  </si>
  <si>
    <t>souche</t>
  </si>
  <si>
    <t>nom</t>
  </si>
  <si>
    <t>concentration_permethrine_mg/ml</t>
  </si>
  <si>
    <t>ponte</t>
  </si>
  <si>
    <t>nb_oeuf_eau</t>
  </si>
  <si>
    <t>nb_oeuf_perm</t>
  </si>
  <si>
    <t>index</t>
  </si>
  <si>
    <t>choix_pondoir</t>
  </si>
  <si>
    <t>spermatheque</t>
  </si>
  <si>
    <t>commentaire</t>
  </si>
  <si>
    <t>10-11</t>
  </si>
  <si>
    <t>A.gambiae</t>
  </si>
  <si>
    <t>KDR</t>
  </si>
  <si>
    <t>kdr_eau</t>
  </si>
  <si>
    <t>NA</t>
  </si>
  <si>
    <t>kdr_orange</t>
  </si>
  <si>
    <t>M</t>
  </si>
  <si>
    <t>E</t>
  </si>
  <si>
    <t>kdr_rouge</t>
  </si>
  <si>
    <t>kdr_vert</t>
  </si>
  <si>
    <t>9-10</t>
  </si>
  <si>
    <t>kdr_orange_blanc</t>
  </si>
  <si>
    <t>eau</t>
  </si>
  <si>
    <t>perm</t>
  </si>
  <si>
    <t>les_deux</t>
  </si>
  <si>
    <t>Total général</t>
  </si>
  <si>
    <t>Étiquettes de lignes</t>
  </si>
  <si>
    <t>Moyenne de nb_oeuf_perm</t>
  </si>
  <si>
    <t>Moyenne de nb_oeuf_eau</t>
  </si>
  <si>
    <t>Moyenne de index</t>
  </si>
  <si>
    <t>Écartype de index</t>
  </si>
  <si>
    <t>Écartype de nb_oeuf_eau</t>
  </si>
  <si>
    <t>Écartype de nb_oeuf_perm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</si>
</sst>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/>
    </xf>
    <xf numFmtId="0" fontId="1" fillId="0" borderId="0" xfId="0" applyFont="1"/>
    <xf numFmtId="16" fontId="0" fillId="0" borderId="0" xfId="0" applyNumberFormat="1"/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16">
    <dxf>
      <fill>
        <patternFill>
          <bgColor rgb="FFFFE1FF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Feuil3!$B$12</c:f>
              <c:strCache>
                <c:ptCount val="1"/>
                <c:pt idx="0">
                  <c:v>Moyenne de index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Feuil3!$C$13:$C$16</c:f>
                <c:numCache>
                  <c:formatCode>General</c:formatCode>
                  <c:ptCount val="4"/>
                  <c:pt idx="0">
                    <c:v>0.70130840873926215</c:v>
                  </c:pt>
                  <c:pt idx="1">
                    <c:v>0.82469493169292785</c:v>
                  </c:pt>
                  <c:pt idx="2">
                    <c:v>0.92260917205160897</c:v>
                  </c:pt>
                  <c:pt idx="3">
                    <c:v>0.80052855953894297</c:v>
                  </c:pt>
                </c:numCache>
              </c:numRef>
            </c:plus>
            <c:minus>
              <c:numRef>
                <c:f>Feuil3!$C$13:$C$16</c:f>
                <c:numCache>
                  <c:formatCode>General</c:formatCode>
                  <c:ptCount val="4"/>
                  <c:pt idx="0">
                    <c:v>0.70130840873926215</c:v>
                  </c:pt>
                  <c:pt idx="1">
                    <c:v>0.82469493169292785</c:v>
                  </c:pt>
                  <c:pt idx="2">
                    <c:v>0.92260917205160897</c:v>
                  </c:pt>
                  <c:pt idx="3">
                    <c:v>0.80052855953894297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Feuil3!$A$13:$A$16</c:f>
              <c:strCache>
                <c:ptCount val="4"/>
                <c:pt idx="0">
                  <c:v>kdr_eau</c:v>
                </c:pt>
                <c:pt idx="1">
                  <c:v>kdr_rouge</c:v>
                </c:pt>
                <c:pt idx="2">
                  <c:v>kdr_vert</c:v>
                </c:pt>
                <c:pt idx="3">
                  <c:v>kdr_orange_blanc</c:v>
                </c:pt>
              </c:strCache>
            </c:strRef>
          </c:cat>
          <c:val>
            <c:numRef>
              <c:f>Feuil3!$B$13:$B$16</c:f>
              <c:numCache>
                <c:formatCode>General</c:formatCode>
                <c:ptCount val="4"/>
                <c:pt idx="0">
                  <c:v>0.38666634980751124</c:v>
                </c:pt>
                <c:pt idx="1">
                  <c:v>-0.10877416239346753</c:v>
                </c:pt>
                <c:pt idx="2">
                  <c:v>4.8764215996720546E-2</c:v>
                </c:pt>
                <c:pt idx="3">
                  <c:v>0.18035318350760959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78-412A-9C4C-767D802D8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398224"/>
        <c:axId val="432405768"/>
      </c:barChart>
      <c:catAx>
        <c:axId val="43239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2405768"/>
        <c:crosses val="autoZero"/>
        <c:auto val="1"/>
        <c:lblAlgn val="ctr"/>
        <c:lblOffset val="100"/>
        <c:noMultiLvlLbl val="0"/>
      </c:catAx>
      <c:valAx>
        <c:axId val="432405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239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Feuil2!$B$13</c:f>
              <c:strCache>
                <c:ptCount val="1"/>
                <c:pt idx="0">
                  <c:v>Moyenne de nb_oeuf_eau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Feuil2!$D$14:$D$17</c:f>
                <c:numCache>
                  <c:formatCode>General</c:formatCode>
                  <c:ptCount val="4"/>
                  <c:pt idx="0">
                    <c:v>27.236652277266515</c:v>
                  </c:pt>
                  <c:pt idx="1">
                    <c:v>19.591570562279436</c:v>
                  </c:pt>
                  <c:pt idx="2">
                    <c:v>23.158268905926708</c:v>
                  </c:pt>
                  <c:pt idx="3">
                    <c:v>19.922794706510153</c:v>
                  </c:pt>
                </c:numCache>
              </c:numRef>
            </c:plus>
            <c:minus>
              <c:numRef>
                <c:f>Feuil2!$D$14:$D$17</c:f>
                <c:numCache>
                  <c:formatCode>General</c:formatCode>
                  <c:ptCount val="4"/>
                  <c:pt idx="0">
                    <c:v>27.236652277266515</c:v>
                  </c:pt>
                  <c:pt idx="1">
                    <c:v>19.591570562279436</c:v>
                  </c:pt>
                  <c:pt idx="2">
                    <c:v>23.158268905926708</c:v>
                  </c:pt>
                  <c:pt idx="3">
                    <c:v>19.922794706510153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Feuil2!$A$14:$A$17</c:f>
              <c:strCache>
                <c:ptCount val="4"/>
                <c:pt idx="0">
                  <c:v>kdr_eau</c:v>
                </c:pt>
                <c:pt idx="1">
                  <c:v>kdr_rouge</c:v>
                </c:pt>
                <c:pt idx="2">
                  <c:v>kdr_vert</c:v>
                </c:pt>
                <c:pt idx="3">
                  <c:v>kdr_orange_blanc</c:v>
                </c:pt>
              </c:strCache>
            </c:strRef>
          </c:cat>
          <c:val>
            <c:numRef>
              <c:f>Feuil2!$B$14:$B$17</c:f>
              <c:numCache>
                <c:formatCode>General</c:formatCode>
                <c:ptCount val="4"/>
                <c:pt idx="0">
                  <c:v>31.09090909090909</c:v>
                </c:pt>
                <c:pt idx="1">
                  <c:v>19.09375</c:v>
                </c:pt>
                <c:pt idx="2">
                  <c:v>19.655172413793103</c:v>
                </c:pt>
                <c:pt idx="3">
                  <c:v>19.181818181818183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6-4AE8-9586-B5E115EECBD5}"/>
            </c:ext>
          </c:extLst>
        </c:ser>
        <c:ser>
          <c:idx val="1"/>
          <c:order val="1"/>
          <c:tx>
            <c:strRef>
              <c:f>Feuil2!$C$13</c:f>
              <c:strCache>
                <c:ptCount val="1"/>
                <c:pt idx="0">
                  <c:v>Moyenne de nb_oeuf_perm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Feuil2!$E$14:$E$17</c:f>
                <c:numCache>
                  <c:formatCode>General</c:formatCode>
                  <c:ptCount val="4"/>
                  <c:pt idx="0">
                    <c:v>17.793374234997323</c:v>
                  </c:pt>
                  <c:pt idx="1">
                    <c:v>19.405452135434651</c:v>
                  </c:pt>
                  <c:pt idx="2">
                    <c:v>21.643324549083161</c:v>
                  </c:pt>
                  <c:pt idx="3">
                    <c:v>13.329734362762755</c:v>
                  </c:pt>
                </c:numCache>
              </c:numRef>
            </c:plus>
            <c:minus>
              <c:numRef>
                <c:f>Feuil2!$E$14:$E$17</c:f>
                <c:numCache>
                  <c:formatCode>General</c:formatCode>
                  <c:ptCount val="4"/>
                  <c:pt idx="0">
                    <c:v>17.793374234997323</c:v>
                  </c:pt>
                  <c:pt idx="1">
                    <c:v>19.405452135434651</c:v>
                  </c:pt>
                  <c:pt idx="2">
                    <c:v>21.643324549083161</c:v>
                  </c:pt>
                  <c:pt idx="3">
                    <c:v>13.329734362762755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Feuil2!$A$14:$A$17</c:f>
              <c:strCache>
                <c:ptCount val="4"/>
                <c:pt idx="0">
                  <c:v>kdr_eau</c:v>
                </c:pt>
                <c:pt idx="1">
                  <c:v>kdr_rouge</c:v>
                </c:pt>
                <c:pt idx="2">
                  <c:v>kdr_vert</c:v>
                </c:pt>
                <c:pt idx="3">
                  <c:v>kdr_orange_blanc</c:v>
                </c:pt>
              </c:strCache>
            </c:strRef>
          </c:cat>
          <c:val>
            <c:numRef>
              <c:f>Feuil2!$C$14:$C$17</c:f>
              <c:numCache>
                <c:formatCode>General</c:formatCode>
                <c:ptCount val="4"/>
                <c:pt idx="0">
                  <c:v>11.666666666666666</c:v>
                </c:pt>
                <c:pt idx="1">
                  <c:v>21.59375</c:v>
                </c:pt>
                <c:pt idx="2">
                  <c:v>16.827586206896552</c:v>
                </c:pt>
                <c:pt idx="3">
                  <c:v>12.409090909090908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66-4AE8-9586-B5E115EEC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8735152"/>
        <c:axId val="338735480"/>
      </c:barChart>
      <c:catAx>
        <c:axId val="33873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8735480"/>
        <c:crosses val="autoZero"/>
        <c:auto val="1"/>
        <c:lblAlgn val="ctr"/>
        <c:lblOffset val="100"/>
        <c:noMultiLvlLbl val="0"/>
      </c:catAx>
      <c:valAx>
        <c:axId val="338735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873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1447800</xdr:colOff>
      <xdr:row>12</xdr:row>
      <xdr:rowOff>109537</xdr:rowOff>
    </xdr:from>
    <xdr:to>
      <xdr:col>9</xdr:col>
      <xdr:colOff>476250</xdr:colOff>
      <xdr:row>26</xdr:row>
      <xdr:rowOff>185737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19</xdr:row>
      <xdr:rowOff>157162</xdr:rowOff>
    </xdr:from>
    <xdr:to>
      <xdr:col>13</xdr:col>
      <xdr:colOff>19050</xdr:colOff>
      <xdr:row>34</xdr:row>
      <xdr:rowOff>42862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RD" refreshedDate="45126.539880787037" createdVersion="6" refreshedVersion="6" minRefreshableVersion="3" recordCount="201">
  <cacheSource type="worksheet">
    <worksheetSource ref="A1:O1048576" sheet="donnees"/>
  </cacheSource>
  <cacheFields count="15">
    <cacheField name="N°" numFmtId="0">
      <sharedItems containsString="0" containsBlank="1" containsNumber="1" containsInteger="1" minValue="1" maxValue="200"/>
    </cacheField>
    <cacheField name="replicat" numFmtId="0">
      <sharedItems containsString="0" containsBlank="1" containsNumber="1" containsInteger="1" minValue="1" maxValue="5"/>
    </cacheField>
    <cacheField name="date_gorgement" numFmtId="0">
      <sharedItems containsNonDate="0" containsDate="1" containsString="0" containsBlank="1" minDate="2023-05-30T00:00:00" maxDate="2023-07-13T00:00:00"/>
    </cacheField>
    <cacheField name="age" numFmtId="49">
      <sharedItems containsBlank="1"/>
    </cacheField>
    <cacheField name="espece" numFmtId="0">
      <sharedItems containsBlank="1"/>
    </cacheField>
    <cacheField name="souche" numFmtId="0">
      <sharedItems containsBlank="1"/>
    </cacheField>
    <cacheField name="nom" numFmtId="0">
      <sharedItems containsBlank="1" count="6">
        <s v="kdr_eau"/>
        <s v="kdr_orange"/>
        <s v="kdr_rouge"/>
        <s v="kdr_vert"/>
        <s v="kdr_orange_blanc"/>
        <m/>
      </sharedItems>
    </cacheField>
    <cacheField name="concentration_permethrine_mg/ml" numFmtId="0">
      <sharedItems containsString="0" containsBlank="1" containsNumber="1" minValue="0" maxValue="2"/>
    </cacheField>
    <cacheField name="ponte" numFmtId="0">
      <sharedItems containsString="0" containsBlank="1" containsNumber="1" containsInteger="1" minValue="0" maxValue="1"/>
    </cacheField>
    <cacheField name="nb_oeuf_eau" numFmtId="0">
      <sharedItems containsBlank="1" containsMixedTypes="1" containsNumber="1" containsInteger="1" minValue="0" maxValue="91"/>
    </cacheField>
    <cacheField name="nb_oeuf_perm" numFmtId="0">
      <sharedItems containsBlank="1" containsMixedTypes="1" containsNumber="1" containsInteger="1" minValue="0" maxValue="88"/>
    </cacheField>
    <cacheField name="index" numFmtId="0">
      <sharedItems containsBlank="1" containsMixedTypes="1" containsNumber="1" minValue="-1" maxValue="1"/>
    </cacheField>
    <cacheField name="choix_pondoir" numFmtId="0">
      <sharedItems containsBlank="1"/>
    </cacheField>
    <cacheField name="spermatheque" numFmtId="0">
      <sharedItems containsBlank="1" containsMixedTypes="1" containsNumber="1" containsInteger="1" minValue="0" maxValue="1"/>
    </cacheField>
    <cacheField name="commentair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1">
  <r>
    <n v="1"/>
    <n v="1"/>
    <d v="2023-05-30T00:00:00"/>
    <s v="10-11"/>
    <s v="A.gambiae"/>
    <s v="KDR"/>
    <x v="0"/>
    <n v="0"/>
    <n v="1"/>
    <n v="66"/>
    <n v="0"/>
    <n v="1"/>
    <s v="eau"/>
    <s v="NA"/>
    <m/>
  </r>
  <r>
    <n v="2"/>
    <n v="1"/>
    <d v="2023-05-30T00:00:00"/>
    <s v="10-11"/>
    <s v="A.gambiae"/>
    <s v="KDR"/>
    <x v="0"/>
    <n v="0"/>
    <n v="1"/>
    <n v="48"/>
    <n v="17"/>
    <n v="0.47692307692307695"/>
    <s v="eau"/>
    <s v="NA"/>
    <m/>
  </r>
  <r>
    <n v="3"/>
    <n v="1"/>
    <d v="2023-05-30T00:00:00"/>
    <s v="10-11"/>
    <s v="A.gambiae"/>
    <s v="KDR"/>
    <x v="0"/>
    <n v="0"/>
    <n v="1"/>
    <n v="87"/>
    <n v="2"/>
    <n v="0.9550561797752809"/>
    <s v="eau"/>
    <s v="NA"/>
    <m/>
  </r>
  <r>
    <n v="4"/>
    <n v="1"/>
    <d v="2023-05-30T00:00:00"/>
    <s v="10-11"/>
    <s v="A.gambiae"/>
    <s v="KDR"/>
    <x v="0"/>
    <n v="0"/>
    <n v="0"/>
    <s v="NA"/>
    <s v="NA"/>
    <s v="NA"/>
    <s v="NA"/>
    <n v="1"/>
    <m/>
  </r>
  <r>
    <n v="5"/>
    <n v="1"/>
    <d v="2023-05-30T00:00:00"/>
    <s v="10-11"/>
    <s v="A.gambiae"/>
    <s v="KDR"/>
    <x v="0"/>
    <n v="0"/>
    <n v="1"/>
    <n v="51"/>
    <n v="0"/>
    <n v="1"/>
    <s v="eau"/>
    <s v="NA"/>
    <m/>
  </r>
  <r>
    <n v="6"/>
    <n v="1"/>
    <d v="2023-05-30T00:00:00"/>
    <s v="10-11"/>
    <s v="A.gambiae"/>
    <s v="KDR"/>
    <x v="0"/>
    <n v="0"/>
    <n v="1"/>
    <n v="60"/>
    <n v="0"/>
    <n v="1"/>
    <s v="eau"/>
    <s v="NA"/>
    <s v="M"/>
  </r>
  <r>
    <n v="7"/>
    <n v="1"/>
    <d v="2023-05-30T00:00:00"/>
    <s v="10-11"/>
    <s v="A.gambiae"/>
    <s v="KDR"/>
    <x v="0"/>
    <n v="0"/>
    <n v="1"/>
    <n v="51"/>
    <n v="0"/>
    <n v="1"/>
    <s v="eau"/>
    <s v="NA"/>
    <m/>
  </r>
  <r>
    <n v="8"/>
    <n v="1"/>
    <d v="2023-05-30T00:00:00"/>
    <s v="10-11"/>
    <s v="A.gambiae"/>
    <s v="KDR"/>
    <x v="0"/>
    <n v="0"/>
    <n v="1"/>
    <n v="44"/>
    <n v="20"/>
    <n v="0.375"/>
    <s v="eau"/>
    <s v="NA"/>
    <m/>
  </r>
  <r>
    <n v="9"/>
    <n v="1"/>
    <d v="2023-05-30T00:00:00"/>
    <s v="10-11"/>
    <s v="A.gambiae"/>
    <s v="KDR"/>
    <x v="0"/>
    <n v="0"/>
    <n v="1"/>
    <n v="14"/>
    <n v="65"/>
    <n v="-0.64556962025316456"/>
    <s v="NA"/>
    <s v="NA"/>
    <m/>
  </r>
  <r>
    <n v="10"/>
    <n v="1"/>
    <d v="2023-05-30T00:00:00"/>
    <s v="10-11"/>
    <s v="A.gambiae"/>
    <s v="KDR"/>
    <x v="0"/>
    <n v="0"/>
    <n v="1"/>
    <n v="2"/>
    <n v="31"/>
    <n v="-0.87878787878787878"/>
    <s v="NA"/>
    <s v="NA"/>
    <m/>
  </r>
  <r>
    <n v="11"/>
    <n v="1"/>
    <d v="2023-05-30T00:00:00"/>
    <s v="10-11"/>
    <s v="A.gambiae"/>
    <s v="KDR"/>
    <x v="1"/>
    <n v="2E-3"/>
    <n v="1"/>
    <n v="56"/>
    <n v="0"/>
    <n v="1"/>
    <s v="eau"/>
    <s v="NA"/>
    <m/>
  </r>
  <r>
    <n v="12"/>
    <n v="1"/>
    <d v="2023-05-30T00:00:00"/>
    <s v="10-11"/>
    <s v="A.gambiae"/>
    <s v="KDR"/>
    <x v="1"/>
    <n v="2E-3"/>
    <n v="1"/>
    <n v="19"/>
    <n v="0"/>
    <n v="1"/>
    <s v="eau"/>
    <s v="NA"/>
    <s v="E"/>
  </r>
  <r>
    <n v="13"/>
    <n v="1"/>
    <d v="2023-05-30T00:00:00"/>
    <s v="10-11"/>
    <s v="A.gambiae"/>
    <s v="KDR"/>
    <x v="1"/>
    <n v="2E-3"/>
    <n v="1"/>
    <n v="0"/>
    <n v="88"/>
    <n v="-1"/>
    <s v="perm"/>
    <s v="NA"/>
    <m/>
  </r>
  <r>
    <n v="14"/>
    <n v="1"/>
    <d v="2023-05-30T00:00:00"/>
    <s v="10-11"/>
    <s v="A.gambiae"/>
    <s v="KDR"/>
    <x v="1"/>
    <n v="2E-3"/>
    <n v="1"/>
    <n v="72"/>
    <n v="5"/>
    <n v="0.87012987012987009"/>
    <s v="eau"/>
    <s v="NA"/>
    <s v="M"/>
  </r>
  <r>
    <n v="15"/>
    <n v="1"/>
    <d v="2023-05-30T00:00:00"/>
    <s v="10-11"/>
    <s v="A.gambiae"/>
    <s v="KDR"/>
    <x v="1"/>
    <n v="2E-3"/>
    <n v="0"/>
    <s v="NA"/>
    <s v="NA"/>
    <s v="NA"/>
    <s v="NA"/>
    <n v="1"/>
    <m/>
  </r>
  <r>
    <n v="16"/>
    <n v="1"/>
    <d v="2023-05-30T00:00:00"/>
    <s v="10-11"/>
    <s v="A.gambiae"/>
    <s v="KDR"/>
    <x v="1"/>
    <n v="2E-3"/>
    <n v="1"/>
    <n v="25"/>
    <n v="4"/>
    <n v="0.72413793103448276"/>
    <s v="eau"/>
    <s v="NA"/>
    <m/>
  </r>
  <r>
    <n v="17"/>
    <n v="1"/>
    <d v="2023-05-30T00:00:00"/>
    <s v="10-11"/>
    <s v="A.gambiae"/>
    <s v="KDR"/>
    <x v="1"/>
    <n v="2E-3"/>
    <n v="1"/>
    <n v="0"/>
    <n v="78"/>
    <n v="-1"/>
    <s v="perm"/>
    <s v="NA"/>
    <m/>
  </r>
  <r>
    <n v="18"/>
    <n v="1"/>
    <d v="2023-05-30T00:00:00"/>
    <s v="10-11"/>
    <s v="A.gambiae"/>
    <s v="KDR"/>
    <x v="1"/>
    <n v="2E-3"/>
    <n v="0"/>
    <s v="NA"/>
    <s v="NA"/>
    <s v="NA"/>
    <s v="NA"/>
    <s v="NA"/>
    <s v="M"/>
  </r>
  <r>
    <n v="19"/>
    <n v="1"/>
    <d v="2023-05-30T00:00:00"/>
    <s v="10-11"/>
    <s v="A.gambiae"/>
    <s v="KDR"/>
    <x v="1"/>
    <n v="2E-3"/>
    <n v="1"/>
    <n v="21"/>
    <n v="7"/>
    <n v="0.5"/>
    <s v="eau"/>
    <s v="NA"/>
    <m/>
  </r>
  <r>
    <n v="20"/>
    <n v="1"/>
    <d v="2023-05-30T00:00:00"/>
    <s v="10-11"/>
    <s v="A.gambiae"/>
    <s v="KDR"/>
    <x v="1"/>
    <n v="2E-3"/>
    <n v="1"/>
    <n v="56"/>
    <n v="0"/>
    <n v="1"/>
    <s v="eau"/>
    <s v="NA"/>
    <m/>
  </r>
  <r>
    <n v="21"/>
    <n v="1"/>
    <d v="2023-05-30T00:00:00"/>
    <s v="10-11"/>
    <s v="A.gambiae"/>
    <s v="KDR"/>
    <x v="2"/>
    <n v="0.02"/>
    <n v="1"/>
    <n v="24"/>
    <n v="0"/>
    <n v="1"/>
    <s v="eau"/>
    <s v="NA"/>
    <s v="M"/>
  </r>
  <r>
    <n v="22"/>
    <n v="1"/>
    <d v="2023-05-30T00:00:00"/>
    <s v="10-11"/>
    <s v="A.gambiae"/>
    <s v="KDR"/>
    <x v="2"/>
    <n v="0.02"/>
    <n v="1"/>
    <n v="0"/>
    <n v="58"/>
    <n v="-1"/>
    <s v="perm"/>
    <s v="NA"/>
    <s v="M"/>
  </r>
  <r>
    <n v="23"/>
    <n v="1"/>
    <d v="2023-05-30T00:00:00"/>
    <s v="10-11"/>
    <s v="A.gambiae"/>
    <s v="KDR"/>
    <x v="2"/>
    <n v="0.02"/>
    <n v="1"/>
    <n v="8"/>
    <n v="42"/>
    <n v="-0.68"/>
    <s v="perm"/>
    <s v="NA"/>
    <m/>
  </r>
  <r>
    <n v="24"/>
    <n v="1"/>
    <d v="2023-05-30T00:00:00"/>
    <s v="10-11"/>
    <s v="A.gambiae"/>
    <s v="KDR"/>
    <x v="2"/>
    <n v="0.02"/>
    <n v="1"/>
    <n v="47"/>
    <n v="0"/>
    <n v="1"/>
    <s v="eau"/>
    <s v="NA"/>
    <m/>
  </r>
  <r>
    <n v="25"/>
    <n v="1"/>
    <d v="2023-05-30T00:00:00"/>
    <s v="10-11"/>
    <s v="A.gambiae"/>
    <s v="KDR"/>
    <x v="2"/>
    <n v="0.02"/>
    <n v="1"/>
    <n v="5"/>
    <n v="28"/>
    <n v="-0.69696969696969702"/>
    <s v="perm"/>
    <s v="NA"/>
    <s v="M"/>
  </r>
  <r>
    <n v="26"/>
    <n v="1"/>
    <d v="2023-05-30T00:00:00"/>
    <s v="10-11"/>
    <s v="A.gambiae"/>
    <s v="KDR"/>
    <x v="2"/>
    <n v="0.02"/>
    <n v="1"/>
    <n v="50"/>
    <n v="0"/>
    <n v="1"/>
    <s v="eau"/>
    <s v="NA"/>
    <m/>
  </r>
  <r>
    <n v="27"/>
    <n v="1"/>
    <d v="2023-05-30T00:00:00"/>
    <s v="10-11"/>
    <s v="A.gambiae"/>
    <s v="KDR"/>
    <x v="2"/>
    <n v="0.02"/>
    <n v="1"/>
    <n v="0"/>
    <n v="53"/>
    <n v="-1"/>
    <s v="perm"/>
    <s v="NA"/>
    <m/>
  </r>
  <r>
    <n v="28"/>
    <n v="1"/>
    <d v="2023-05-30T00:00:00"/>
    <s v="10-11"/>
    <s v="A.gambiae"/>
    <s v="KDR"/>
    <x v="2"/>
    <n v="0.02"/>
    <n v="1"/>
    <n v="37"/>
    <n v="26"/>
    <n v="0.17460317460317459"/>
    <s v="eau"/>
    <s v="NA"/>
    <m/>
  </r>
  <r>
    <n v="29"/>
    <n v="1"/>
    <d v="2023-05-30T00:00:00"/>
    <s v="10-11"/>
    <s v="A.gambiae"/>
    <s v="KDR"/>
    <x v="2"/>
    <n v="0.02"/>
    <n v="1"/>
    <n v="49"/>
    <n v="28"/>
    <n v="0.27272727272727271"/>
    <s v="eau"/>
    <s v="NA"/>
    <m/>
  </r>
  <r>
    <n v="30"/>
    <n v="1"/>
    <d v="2023-05-30T00:00:00"/>
    <s v="10-11"/>
    <s v="A.gambiae"/>
    <s v="KDR"/>
    <x v="2"/>
    <n v="0.02"/>
    <n v="1"/>
    <n v="17"/>
    <n v="55"/>
    <n v="-0.52777777777777779"/>
    <s v="perm"/>
    <s v="NA"/>
    <m/>
  </r>
  <r>
    <n v="31"/>
    <n v="1"/>
    <d v="2023-05-30T00:00:00"/>
    <s v="10-11"/>
    <s v="A.gambiae"/>
    <s v="KDR"/>
    <x v="3"/>
    <n v="0.2"/>
    <n v="1"/>
    <n v="22"/>
    <n v="0"/>
    <n v="1"/>
    <s v="eau"/>
    <s v="NA"/>
    <m/>
  </r>
  <r>
    <n v="32"/>
    <n v="1"/>
    <d v="2023-05-30T00:00:00"/>
    <s v="10-11"/>
    <s v="A.gambiae"/>
    <s v="KDR"/>
    <x v="3"/>
    <n v="0.2"/>
    <n v="1"/>
    <n v="0"/>
    <n v="88"/>
    <n v="-1"/>
    <s v="perm"/>
    <s v="NA"/>
    <m/>
  </r>
  <r>
    <n v="33"/>
    <n v="1"/>
    <d v="2023-05-30T00:00:00"/>
    <s v="10-11"/>
    <s v="A.gambiae"/>
    <s v="KDR"/>
    <x v="3"/>
    <n v="0.2"/>
    <n v="1"/>
    <n v="0"/>
    <n v="53"/>
    <n v="-1"/>
    <s v="perm"/>
    <s v="NA"/>
    <m/>
  </r>
  <r>
    <n v="34"/>
    <n v="1"/>
    <d v="2023-05-30T00:00:00"/>
    <s v="10-11"/>
    <s v="A.gambiae"/>
    <s v="KDR"/>
    <x v="3"/>
    <n v="0.2"/>
    <n v="1"/>
    <n v="35"/>
    <n v="0"/>
    <n v="1"/>
    <s v="eau"/>
    <s v="NA"/>
    <s v="M"/>
  </r>
  <r>
    <n v="35"/>
    <n v="1"/>
    <d v="2023-05-30T00:00:00"/>
    <s v="10-11"/>
    <s v="A.gambiae"/>
    <s v="KDR"/>
    <x v="3"/>
    <n v="0.2"/>
    <n v="0"/>
    <s v="NA"/>
    <s v="NA"/>
    <s v="NA"/>
    <s v="NA"/>
    <s v="NA"/>
    <s v="E"/>
  </r>
  <r>
    <n v="36"/>
    <n v="1"/>
    <d v="2023-05-30T00:00:00"/>
    <s v="10-11"/>
    <s v="A.gambiae"/>
    <s v="KDR"/>
    <x v="3"/>
    <n v="0.2"/>
    <n v="1"/>
    <n v="0"/>
    <n v="37"/>
    <n v="-1"/>
    <s v="perm"/>
    <s v="NA"/>
    <s v="M"/>
  </r>
  <r>
    <n v="37"/>
    <n v="1"/>
    <d v="2023-05-30T00:00:00"/>
    <s v="10-11"/>
    <s v="A.gambiae"/>
    <s v="KDR"/>
    <x v="3"/>
    <n v="0.2"/>
    <n v="0"/>
    <s v="NA"/>
    <s v="NA"/>
    <s v="NA"/>
    <s v="NA"/>
    <s v="NA"/>
    <s v="M"/>
  </r>
  <r>
    <n v="38"/>
    <n v="1"/>
    <d v="2023-05-30T00:00:00"/>
    <s v="10-11"/>
    <s v="A.gambiae"/>
    <s v="KDR"/>
    <x v="3"/>
    <n v="0.2"/>
    <n v="1"/>
    <n v="45"/>
    <n v="13"/>
    <n v="0.55172413793103448"/>
    <s v="eau"/>
    <s v="NA"/>
    <m/>
  </r>
  <r>
    <n v="39"/>
    <n v="1"/>
    <d v="2023-05-30T00:00:00"/>
    <s v="10-11"/>
    <s v="A.gambiae"/>
    <s v="KDR"/>
    <x v="3"/>
    <n v="0.2"/>
    <n v="0"/>
    <s v="NA"/>
    <s v="NA"/>
    <s v="NA"/>
    <s v="NA"/>
    <s v="NA"/>
    <s v="M"/>
  </r>
  <r>
    <n v="40"/>
    <n v="1"/>
    <d v="2023-05-30T00:00:00"/>
    <s v="10-11"/>
    <s v="A.gambiae"/>
    <s v="KDR"/>
    <x v="3"/>
    <n v="0.2"/>
    <n v="1"/>
    <n v="49"/>
    <n v="0"/>
    <n v="1"/>
    <s v="eau"/>
    <s v="NA"/>
    <s v="M"/>
  </r>
  <r>
    <n v="41"/>
    <n v="2"/>
    <d v="2023-06-21T00:00:00"/>
    <s v="9-10"/>
    <s v="A.gambiae"/>
    <s v="KDR"/>
    <x v="0"/>
    <n v="0"/>
    <n v="0"/>
    <s v="NA"/>
    <s v="NA"/>
    <s v="NA"/>
    <s v="NA"/>
    <s v="NA"/>
    <s v="M"/>
  </r>
  <r>
    <n v="42"/>
    <n v="2"/>
    <d v="2023-06-21T00:00:00"/>
    <s v="9-10"/>
    <s v="A.gambiae"/>
    <s v="KDR"/>
    <x v="0"/>
    <n v="0"/>
    <n v="1"/>
    <n v="37"/>
    <n v="0"/>
    <n v="1"/>
    <s v="eau"/>
    <s v="NA"/>
    <m/>
  </r>
  <r>
    <n v="43"/>
    <n v="2"/>
    <d v="2023-06-21T00:00:00"/>
    <s v="9-10"/>
    <s v="A.gambiae"/>
    <s v="KDR"/>
    <x v="0"/>
    <n v="0"/>
    <n v="1"/>
    <n v="87"/>
    <n v="0"/>
    <n v="1"/>
    <s v="eau"/>
    <s v="NA"/>
    <m/>
  </r>
  <r>
    <n v="44"/>
    <n v="2"/>
    <d v="2023-06-21T00:00:00"/>
    <s v="9-10"/>
    <s v="A.gambiae"/>
    <s v="KDR"/>
    <x v="0"/>
    <n v="0"/>
    <n v="1"/>
    <n v="5"/>
    <n v="3"/>
    <n v="0.25"/>
    <s v="NA"/>
    <s v="NA"/>
    <m/>
  </r>
  <r>
    <n v="45"/>
    <n v="2"/>
    <d v="2023-06-21T00:00:00"/>
    <s v="9-10"/>
    <s v="A.gambiae"/>
    <s v="KDR"/>
    <x v="0"/>
    <n v="0"/>
    <n v="1"/>
    <n v="12"/>
    <n v="21"/>
    <n v="-0.27272727272727271"/>
    <s v="NA"/>
    <s v="NA"/>
    <m/>
  </r>
  <r>
    <n v="46"/>
    <n v="2"/>
    <d v="2023-06-21T00:00:00"/>
    <s v="9-10"/>
    <s v="A.gambiae"/>
    <s v="KDR"/>
    <x v="0"/>
    <n v="0"/>
    <n v="1"/>
    <n v="4"/>
    <n v="0"/>
    <n v="1"/>
    <s v="eau"/>
    <s v="NA"/>
    <m/>
  </r>
  <r>
    <n v="47"/>
    <n v="2"/>
    <d v="2023-06-21T00:00:00"/>
    <s v="9-10"/>
    <s v="A.gambiae"/>
    <s v="KDR"/>
    <x v="0"/>
    <n v="0"/>
    <n v="0"/>
    <s v="NA"/>
    <s v="NA"/>
    <s v="NA"/>
    <s v="NA"/>
    <n v="1"/>
    <m/>
  </r>
  <r>
    <n v="48"/>
    <n v="2"/>
    <d v="2023-06-21T00:00:00"/>
    <s v="9-10"/>
    <s v="A.gambiae"/>
    <s v="KDR"/>
    <x v="0"/>
    <n v="0"/>
    <n v="0"/>
    <s v="NA"/>
    <s v="NA"/>
    <s v="NA"/>
    <s v="NA"/>
    <n v="1"/>
    <m/>
  </r>
  <r>
    <n v="49"/>
    <n v="2"/>
    <d v="2023-06-21T00:00:00"/>
    <s v="9-10"/>
    <s v="A.gambiae"/>
    <s v="KDR"/>
    <x v="0"/>
    <n v="0"/>
    <n v="1"/>
    <n v="59"/>
    <n v="0"/>
    <n v="1"/>
    <s v="eau"/>
    <s v="NA"/>
    <m/>
  </r>
  <r>
    <n v="50"/>
    <n v="2"/>
    <d v="2023-06-21T00:00:00"/>
    <s v="9-10"/>
    <s v="A.gambiae"/>
    <s v="KDR"/>
    <x v="0"/>
    <n v="0"/>
    <n v="0"/>
    <s v="NA"/>
    <s v="NA"/>
    <s v="NA"/>
    <s v="NA"/>
    <n v="1"/>
    <m/>
  </r>
  <r>
    <n v="51"/>
    <n v="2"/>
    <d v="2023-06-21T00:00:00"/>
    <s v="9-10"/>
    <s v="A.gambiae"/>
    <s v="KDR"/>
    <x v="2"/>
    <n v="0.02"/>
    <n v="0"/>
    <s v="NA"/>
    <s v="NA"/>
    <s v="NA"/>
    <s v="NA"/>
    <n v="1"/>
    <m/>
  </r>
  <r>
    <n v="52"/>
    <n v="2"/>
    <d v="2023-06-21T00:00:00"/>
    <s v="9-10"/>
    <s v="A.gambiae"/>
    <s v="KDR"/>
    <x v="2"/>
    <n v="0.02"/>
    <n v="1"/>
    <n v="46"/>
    <n v="0"/>
    <n v="1"/>
    <s v="eau"/>
    <s v="NA"/>
    <m/>
  </r>
  <r>
    <n v="53"/>
    <n v="2"/>
    <d v="2023-06-21T00:00:00"/>
    <s v="9-10"/>
    <s v="A.gambiae"/>
    <s v="KDR"/>
    <x v="2"/>
    <n v="0.02"/>
    <n v="0"/>
    <s v="NA"/>
    <s v="NA"/>
    <s v="NA"/>
    <s v="NA"/>
    <n v="1"/>
    <m/>
  </r>
  <r>
    <n v="54"/>
    <n v="2"/>
    <d v="2023-06-21T00:00:00"/>
    <s v="9-10"/>
    <s v="A.gambiae"/>
    <s v="KDR"/>
    <x v="2"/>
    <n v="0.02"/>
    <n v="0"/>
    <s v="NA"/>
    <s v="NA"/>
    <s v="NA"/>
    <s v="NA"/>
    <n v="1"/>
    <m/>
  </r>
  <r>
    <n v="55"/>
    <n v="2"/>
    <d v="2023-06-21T00:00:00"/>
    <s v="9-10"/>
    <s v="A.gambiae"/>
    <s v="KDR"/>
    <x v="2"/>
    <n v="0.02"/>
    <n v="0"/>
    <s v="NA"/>
    <s v="NA"/>
    <s v="NA"/>
    <s v="NA"/>
    <s v="NA"/>
    <s v="M"/>
  </r>
  <r>
    <n v="56"/>
    <n v="2"/>
    <d v="2023-06-21T00:00:00"/>
    <s v="9-10"/>
    <s v="A.gambiae"/>
    <s v="KDR"/>
    <x v="2"/>
    <n v="0.02"/>
    <n v="1"/>
    <n v="42"/>
    <n v="12"/>
    <n v="0.55555555555555558"/>
    <s v="eau"/>
    <s v="NA"/>
    <m/>
  </r>
  <r>
    <n v="57"/>
    <n v="2"/>
    <d v="2023-06-21T00:00:00"/>
    <s v="9-10"/>
    <s v="A.gambiae"/>
    <s v="KDR"/>
    <x v="2"/>
    <n v="0.02"/>
    <n v="0"/>
    <s v="NA"/>
    <s v="NA"/>
    <s v="NA"/>
    <s v="NA"/>
    <n v="1"/>
    <m/>
  </r>
  <r>
    <n v="58"/>
    <n v="2"/>
    <d v="2023-06-21T00:00:00"/>
    <s v="9-10"/>
    <s v="A.gambiae"/>
    <s v="KDR"/>
    <x v="2"/>
    <n v="0.02"/>
    <n v="1"/>
    <n v="0"/>
    <n v="16"/>
    <n v="-1"/>
    <s v="perm"/>
    <s v="NA"/>
    <m/>
  </r>
  <r>
    <n v="59"/>
    <n v="2"/>
    <d v="2023-06-21T00:00:00"/>
    <s v="9-10"/>
    <s v="A.gambiae"/>
    <s v="KDR"/>
    <x v="2"/>
    <n v="0.02"/>
    <n v="1"/>
    <n v="0"/>
    <n v="33"/>
    <n v="-1"/>
    <s v="perm"/>
    <s v="NA"/>
    <m/>
  </r>
  <r>
    <n v="60"/>
    <n v="2"/>
    <d v="2023-06-21T00:00:00"/>
    <s v="9-10"/>
    <s v="A.gambiae"/>
    <s v="KDR"/>
    <x v="2"/>
    <n v="0.02"/>
    <n v="1"/>
    <n v="54"/>
    <n v="0"/>
    <n v="1"/>
    <s v="eau"/>
    <s v="NA"/>
    <m/>
  </r>
  <r>
    <n v="61"/>
    <n v="2"/>
    <d v="2023-06-21T00:00:00"/>
    <s v="9-10"/>
    <s v="A.gambiae"/>
    <s v="KDR"/>
    <x v="3"/>
    <n v="0.2"/>
    <n v="0"/>
    <s v="NA"/>
    <s v="NA"/>
    <s v="NA"/>
    <s v="NA"/>
    <n v="1"/>
    <m/>
  </r>
  <r>
    <n v="62"/>
    <n v="2"/>
    <d v="2023-06-21T00:00:00"/>
    <s v="9-10"/>
    <s v="A.gambiae"/>
    <s v="KDR"/>
    <x v="3"/>
    <n v="0.2"/>
    <n v="1"/>
    <n v="0"/>
    <n v="25"/>
    <n v="-1"/>
    <s v="perm"/>
    <s v="NA"/>
    <s v="M"/>
  </r>
  <r>
    <n v="63"/>
    <n v="2"/>
    <d v="2023-06-21T00:00:00"/>
    <s v="9-10"/>
    <s v="A.gambiae"/>
    <s v="KDR"/>
    <x v="3"/>
    <n v="0.2"/>
    <n v="0"/>
    <s v="NA"/>
    <s v="NA"/>
    <s v="NA"/>
    <s v="NA"/>
    <s v="NA"/>
    <s v="M"/>
  </r>
  <r>
    <n v="64"/>
    <n v="2"/>
    <d v="2023-06-21T00:00:00"/>
    <s v="9-10"/>
    <s v="A.gambiae"/>
    <s v="KDR"/>
    <x v="3"/>
    <n v="0.2"/>
    <n v="0"/>
    <s v="NA"/>
    <s v="NA"/>
    <s v="NA"/>
    <s v="NA"/>
    <n v="0"/>
    <m/>
  </r>
  <r>
    <n v="65"/>
    <n v="2"/>
    <d v="2023-06-21T00:00:00"/>
    <s v="9-10"/>
    <s v="A.gambiae"/>
    <s v="KDR"/>
    <x v="3"/>
    <n v="0.2"/>
    <n v="0"/>
    <s v="NA"/>
    <s v="NA"/>
    <s v="NA"/>
    <s v="NA"/>
    <n v="1"/>
    <m/>
  </r>
  <r>
    <n v="66"/>
    <n v="2"/>
    <d v="2023-06-21T00:00:00"/>
    <s v="9-10"/>
    <s v="A.gambiae"/>
    <s v="KDR"/>
    <x v="3"/>
    <n v="0.2"/>
    <n v="1"/>
    <n v="20"/>
    <n v="0"/>
    <n v="1"/>
    <s v="eau"/>
    <s v="NA"/>
    <m/>
  </r>
  <r>
    <n v="67"/>
    <n v="2"/>
    <d v="2023-06-21T00:00:00"/>
    <s v="9-10"/>
    <s v="A.gambiae"/>
    <s v="KDR"/>
    <x v="3"/>
    <n v="0.2"/>
    <n v="0"/>
    <s v="NA"/>
    <s v="NA"/>
    <s v="NA"/>
    <s v="NA"/>
    <n v="1"/>
    <m/>
  </r>
  <r>
    <n v="68"/>
    <n v="2"/>
    <d v="2023-06-21T00:00:00"/>
    <s v="9-10"/>
    <s v="A.gambiae"/>
    <s v="KDR"/>
    <x v="3"/>
    <n v="0.2"/>
    <n v="1"/>
    <n v="26"/>
    <n v="29"/>
    <n v="-5.4545454545454543E-2"/>
    <s v="perm"/>
    <s v="NA"/>
    <m/>
  </r>
  <r>
    <n v="69"/>
    <n v="2"/>
    <d v="2023-06-21T00:00:00"/>
    <s v="9-10"/>
    <s v="A.gambiae"/>
    <s v="KDR"/>
    <x v="3"/>
    <n v="0.2"/>
    <n v="1"/>
    <n v="57"/>
    <n v="0"/>
    <n v="1"/>
    <s v="eau"/>
    <s v="NA"/>
    <m/>
  </r>
  <r>
    <n v="70"/>
    <n v="2"/>
    <d v="2023-06-21T00:00:00"/>
    <s v="9-10"/>
    <s v="A.gambiae"/>
    <s v="KDR"/>
    <x v="3"/>
    <n v="0.2"/>
    <n v="1"/>
    <n v="66"/>
    <n v="0"/>
    <n v="1"/>
    <s v="eau"/>
    <s v="NA"/>
    <m/>
  </r>
  <r>
    <n v="71"/>
    <n v="2"/>
    <d v="2023-06-21T00:00:00"/>
    <s v="9-10"/>
    <s v="A.gambiae"/>
    <s v="KDR"/>
    <x v="4"/>
    <n v="2"/>
    <n v="1"/>
    <n v="0"/>
    <n v="6"/>
    <n v="-1"/>
    <s v="perm"/>
    <s v="NA"/>
    <m/>
  </r>
  <r>
    <n v="72"/>
    <n v="2"/>
    <d v="2023-06-21T00:00:00"/>
    <s v="9-10"/>
    <s v="A.gambiae"/>
    <s v="KDR"/>
    <x v="4"/>
    <n v="2"/>
    <n v="0"/>
    <s v="NA"/>
    <s v="NA"/>
    <s v="NA"/>
    <s v="NA"/>
    <n v="0"/>
    <m/>
  </r>
  <r>
    <n v="73"/>
    <n v="2"/>
    <d v="2023-06-21T00:00:00"/>
    <s v="9-10"/>
    <s v="A.gambiae"/>
    <s v="KDR"/>
    <x v="4"/>
    <n v="2"/>
    <n v="1"/>
    <n v="0"/>
    <n v="33"/>
    <n v="-1"/>
    <s v="perm"/>
    <s v="NA"/>
    <m/>
  </r>
  <r>
    <n v="74"/>
    <n v="2"/>
    <d v="2023-06-21T00:00:00"/>
    <s v="9-10"/>
    <s v="A.gambiae"/>
    <s v="KDR"/>
    <x v="4"/>
    <n v="2"/>
    <n v="1"/>
    <n v="2"/>
    <n v="2"/>
    <n v="0"/>
    <s v="les_deux"/>
    <s v="NA"/>
    <m/>
  </r>
  <r>
    <n v="75"/>
    <n v="2"/>
    <d v="2023-06-21T00:00:00"/>
    <s v="9-10"/>
    <s v="A.gambiae"/>
    <s v="KDR"/>
    <x v="4"/>
    <n v="2"/>
    <n v="0"/>
    <s v="NA"/>
    <s v="NA"/>
    <s v="NA"/>
    <s v="NA"/>
    <s v="NA"/>
    <s v="M"/>
  </r>
  <r>
    <n v="76"/>
    <n v="2"/>
    <d v="2023-06-21T00:00:00"/>
    <s v="9-10"/>
    <s v="A.gambiae"/>
    <s v="KDR"/>
    <x v="4"/>
    <n v="2"/>
    <n v="1"/>
    <n v="39"/>
    <n v="0"/>
    <n v="1"/>
    <s v="eau"/>
    <s v="NA"/>
    <m/>
  </r>
  <r>
    <n v="77"/>
    <n v="2"/>
    <d v="2023-06-21T00:00:00"/>
    <s v="9-10"/>
    <s v="A.gambiae"/>
    <s v="KDR"/>
    <x v="4"/>
    <n v="2"/>
    <n v="1"/>
    <n v="36"/>
    <n v="8"/>
    <n v="0.63636363636363635"/>
    <s v="eau"/>
    <s v="NA"/>
    <m/>
  </r>
  <r>
    <n v="78"/>
    <n v="2"/>
    <d v="2023-06-21T00:00:00"/>
    <s v="9-10"/>
    <s v="A.gambiae"/>
    <s v="KDR"/>
    <x v="4"/>
    <n v="2"/>
    <n v="0"/>
    <s v="NA"/>
    <s v="NA"/>
    <s v="NA"/>
    <s v="NA"/>
    <n v="1"/>
    <m/>
  </r>
  <r>
    <n v="79"/>
    <n v="2"/>
    <d v="2023-06-21T00:00:00"/>
    <s v="9-10"/>
    <s v="A.gambiae"/>
    <s v="KDR"/>
    <x v="4"/>
    <n v="2"/>
    <n v="1"/>
    <n v="18"/>
    <n v="3"/>
    <n v="0.7142857142857143"/>
    <s v="eau"/>
    <s v="NA"/>
    <m/>
  </r>
  <r>
    <n v="80"/>
    <n v="2"/>
    <d v="2023-06-21T00:00:00"/>
    <s v="9-10"/>
    <s v="A.gambiae"/>
    <s v="KDR"/>
    <x v="4"/>
    <n v="2"/>
    <n v="1"/>
    <n v="4"/>
    <n v="40"/>
    <n v="-0.81818181818181823"/>
    <s v="perm"/>
    <s v="NA"/>
    <s v="M"/>
  </r>
  <r>
    <n v="81"/>
    <n v="3"/>
    <d v="2023-06-28T00:00:00"/>
    <s v="9-10"/>
    <s v="A.gambiae"/>
    <s v="KDR"/>
    <x v="0"/>
    <n v="0"/>
    <n v="0"/>
    <s v="NA"/>
    <s v="NA"/>
    <s v="NA"/>
    <s v="NA"/>
    <s v="NA"/>
    <s v="M"/>
  </r>
  <r>
    <n v="82"/>
    <n v="3"/>
    <d v="2023-06-28T00:00:00"/>
    <s v="9-10"/>
    <s v="A.gambiae"/>
    <s v="KDR"/>
    <x v="0"/>
    <n v="0"/>
    <n v="0"/>
    <s v="NA"/>
    <s v="NA"/>
    <s v="NA"/>
    <s v="NA"/>
    <n v="0"/>
    <m/>
  </r>
  <r>
    <n v="83"/>
    <n v="3"/>
    <d v="2023-06-28T00:00:00"/>
    <s v="9-10"/>
    <s v="A.gambiae"/>
    <s v="KDR"/>
    <x v="0"/>
    <n v="0"/>
    <n v="1"/>
    <n v="22"/>
    <n v="0"/>
    <n v="1"/>
    <s v="eau"/>
    <s v="NA"/>
    <m/>
  </r>
  <r>
    <n v="84"/>
    <n v="3"/>
    <d v="2023-06-28T00:00:00"/>
    <s v="9-10"/>
    <s v="A.gambiae"/>
    <s v="KDR"/>
    <x v="0"/>
    <n v="0"/>
    <n v="1"/>
    <n v="45"/>
    <n v="0"/>
    <n v="1"/>
    <s v="eau"/>
    <s v="NA"/>
    <m/>
  </r>
  <r>
    <n v="85"/>
    <n v="3"/>
    <d v="2023-06-28T00:00:00"/>
    <s v="9-10"/>
    <s v="A.gambiae"/>
    <s v="KDR"/>
    <x v="0"/>
    <n v="0"/>
    <n v="1"/>
    <n v="22"/>
    <n v="56"/>
    <n v="-0.4358974358974359"/>
    <s v="perm"/>
    <s v="NA"/>
    <m/>
  </r>
  <r>
    <n v="86"/>
    <n v="3"/>
    <d v="2023-06-28T00:00:00"/>
    <s v="9-10"/>
    <s v="A.gambiae"/>
    <s v="KDR"/>
    <x v="0"/>
    <n v="0"/>
    <n v="1"/>
    <n v="9"/>
    <n v="19"/>
    <n v="-0.35714285714285715"/>
    <s v="perm"/>
    <s v="NA"/>
    <m/>
  </r>
  <r>
    <n v="87"/>
    <n v="3"/>
    <d v="2023-06-28T00:00:00"/>
    <s v="9-10"/>
    <s v="A.gambiae"/>
    <s v="KDR"/>
    <x v="0"/>
    <n v="0"/>
    <n v="0"/>
    <s v="NA"/>
    <s v="NA"/>
    <s v="NA"/>
    <s v="NA"/>
    <n v="1"/>
    <m/>
  </r>
  <r>
    <n v="88"/>
    <n v="3"/>
    <d v="2023-06-28T00:00:00"/>
    <s v="9-10"/>
    <s v="A.gambiae"/>
    <s v="KDR"/>
    <x v="0"/>
    <n v="0"/>
    <n v="1"/>
    <n v="36"/>
    <n v="0"/>
    <n v="1"/>
    <s v="eau"/>
    <s v="NA"/>
    <m/>
  </r>
  <r>
    <n v="89"/>
    <n v="3"/>
    <d v="2023-06-28T00:00:00"/>
    <s v="9-10"/>
    <s v="A.gambiae"/>
    <s v="KDR"/>
    <x v="0"/>
    <n v="0"/>
    <n v="0"/>
    <s v="NA"/>
    <s v="NA"/>
    <s v="NA"/>
    <s v="NA"/>
    <s v="NA"/>
    <s v="M"/>
  </r>
  <r>
    <n v="90"/>
    <n v="3"/>
    <d v="2023-06-28T00:00:00"/>
    <s v="9-10"/>
    <s v="A.gambiae"/>
    <s v="KDR"/>
    <x v="0"/>
    <n v="0"/>
    <n v="0"/>
    <s v="NA"/>
    <s v="NA"/>
    <s v="NA"/>
    <s v="NA"/>
    <n v="1"/>
    <m/>
  </r>
  <r>
    <n v="91"/>
    <n v="3"/>
    <d v="2023-06-28T00:00:00"/>
    <s v="9-10"/>
    <s v="A.gambiae"/>
    <s v="KDR"/>
    <x v="2"/>
    <n v="0.02"/>
    <n v="1"/>
    <n v="3"/>
    <n v="16"/>
    <n v="-0.68421052631578949"/>
    <s v="perm"/>
    <s v="NA"/>
    <m/>
  </r>
  <r>
    <n v="92"/>
    <n v="3"/>
    <d v="2023-06-28T00:00:00"/>
    <s v="9-10"/>
    <s v="A.gambiae"/>
    <s v="KDR"/>
    <x v="2"/>
    <n v="0.02"/>
    <n v="0"/>
    <s v="NA"/>
    <s v="NA"/>
    <s v="NA"/>
    <s v="NA"/>
    <n v="0"/>
    <m/>
  </r>
  <r>
    <n v="93"/>
    <n v="3"/>
    <d v="2023-06-28T00:00:00"/>
    <s v="9-10"/>
    <s v="A.gambiae"/>
    <s v="KDR"/>
    <x v="2"/>
    <n v="0.02"/>
    <n v="0"/>
    <s v="NA"/>
    <s v="NA"/>
    <s v="NA"/>
    <s v="NA"/>
    <n v="1"/>
    <m/>
  </r>
  <r>
    <n v="94"/>
    <n v="3"/>
    <d v="2023-06-28T00:00:00"/>
    <s v="9-10"/>
    <s v="A.gambiae"/>
    <s v="KDR"/>
    <x v="2"/>
    <n v="0.02"/>
    <n v="0"/>
    <s v="NA"/>
    <s v="NA"/>
    <s v="NA"/>
    <s v="NA"/>
    <n v="0"/>
    <m/>
  </r>
  <r>
    <n v="95"/>
    <n v="3"/>
    <d v="2023-06-28T00:00:00"/>
    <s v="9-10"/>
    <s v="A.gambiae"/>
    <s v="KDR"/>
    <x v="2"/>
    <n v="0.02"/>
    <n v="0"/>
    <s v="NA"/>
    <s v="NA"/>
    <s v="NA"/>
    <s v="NA"/>
    <n v="1"/>
    <m/>
  </r>
  <r>
    <n v="96"/>
    <n v="3"/>
    <d v="2023-06-28T00:00:00"/>
    <s v="9-10"/>
    <s v="A.gambiae"/>
    <s v="KDR"/>
    <x v="2"/>
    <n v="0.02"/>
    <n v="1"/>
    <n v="2"/>
    <n v="4"/>
    <n v="-0.33333333333333331"/>
    <s v="perm"/>
    <s v="NA"/>
    <m/>
  </r>
  <r>
    <n v="97"/>
    <n v="3"/>
    <d v="2023-06-28T00:00:00"/>
    <s v="9-10"/>
    <s v="A.gambiae"/>
    <s v="KDR"/>
    <x v="2"/>
    <n v="0.02"/>
    <n v="1"/>
    <n v="27"/>
    <n v="17"/>
    <n v="0.22727272727272727"/>
    <s v="eau"/>
    <s v="NA"/>
    <m/>
  </r>
  <r>
    <n v="98"/>
    <n v="3"/>
    <d v="2023-06-28T00:00:00"/>
    <s v="9-10"/>
    <s v="A.gambiae"/>
    <s v="KDR"/>
    <x v="2"/>
    <n v="0.02"/>
    <n v="1"/>
    <n v="17"/>
    <n v="4"/>
    <n v="0.61904761904761907"/>
    <s v="eau"/>
    <s v="NA"/>
    <m/>
  </r>
  <r>
    <n v="99"/>
    <n v="3"/>
    <d v="2023-06-28T00:00:00"/>
    <s v="9-10"/>
    <s v="A.gambiae"/>
    <s v="KDR"/>
    <x v="2"/>
    <n v="0.02"/>
    <n v="1"/>
    <n v="0"/>
    <n v="68"/>
    <n v="-1"/>
    <s v="perm"/>
    <s v="NA"/>
    <m/>
  </r>
  <r>
    <n v="100"/>
    <n v="3"/>
    <d v="2023-06-28T00:00:00"/>
    <s v="9-10"/>
    <s v="A.gambiae"/>
    <s v="KDR"/>
    <x v="2"/>
    <n v="0.02"/>
    <n v="0"/>
    <s v="NA"/>
    <s v="NA"/>
    <s v="NA"/>
    <s v="NA"/>
    <n v="0"/>
    <m/>
  </r>
  <r>
    <n v="101"/>
    <n v="3"/>
    <d v="2023-06-28T00:00:00"/>
    <s v="9-10"/>
    <s v="A.gambiae"/>
    <s v="KDR"/>
    <x v="3"/>
    <n v="0.2"/>
    <n v="1"/>
    <n v="14"/>
    <n v="0"/>
    <n v="1"/>
    <s v="eau"/>
    <s v="NA"/>
    <m/>
  </r>
  <r>
    <n v="102"/>
    <n v="3"/>
    <d v="2023-06-28T00:00:00"/>
    <s v="9-10"/>
    <s v="A.gambiae"/>
    <s v="KDR"/>
    <x v="3"/>
    <n v="0.2"/>
    <n v="1"/>
    <n v="1"/>
    <n v="45"/>
    <n v="-0.95652173913043481"/>
    <s v="perm"/>
    <s v="NA"/>
    <m/>
  </r>
  <r>
    <n v="103"/>
    <n v="3"/>
    <d v="2023-06-28T00:00:00"/>
    <s v="9-10"/>
    <s v="A.gambiae"/>
    <s v="KDR"/>
    <x v="3"/>
    <n v="0.2"/>
    <n v="0"/>
    <s v="NA"/>
    <s v="NA"/>
    <s v="NA"/>
    <s v="NA"/>
    <n v="0"/>
    <m/>
  </r>
  <r>
    <n v="104"/>
    <n v="3"/>
    <d v="2023-06-28T00:00:00"/>
    <s v="9-10"/>
    <s v="A.gambiae"/>
    <s v="KDR"/>
    <x v="3"/>
    <n v="0.2"/>
    <n v="1"/>
    <n v="15"/>
    <n v="4"/>
    <n v="0.57894736842105265"/>
    <s v="eau"/>
    <s v="NA"/>
    <m/>
  </r>
  <r>
    <n v="105"/>
    <n v="3"/>
    <d v="2023-06-28T00:00:00"/>
    <s v="9-10"/>
    <s v="A.gambiae"/>
    <s v="KDR"/>
    <x v="3"/>
    <n v="0.2"/>
    <n v="0"/>
    <s v="NA"/>
    <s v="NA"/>
    <s v="NA"/>
    <s v="NA"/>
    <n v="1"/>
    <m/>
  </r>
  <r>
    <n v="106"/>
    <n v="3"/>
    <d v="2023-06-28T00:00:00"/>
    <s v="9-10"/>
    <s v="A.gambiae"/>
    <s v="KDR"/>
    <x v="3"/>
    <n v="0.2"/>
    <n v="1"/>
    <n v="0"/>
    <n v="5"/>
    <n v="-1"/>
    <s v="perm"/>
    <s v="NA"/>
    <m/>
  </r>
  <r>
    <n v="107"/>
    <n v="3"/>
    <d v="2023-06-28T00:00:00"/>
    <s v="9-10"/>
    <s v="A.gambiae"/>
    <s v="KDR"/>
    <x v="3"/>
    <n v="0.2"/>
    <n v="0"/>
    <s v="NA"/>
    <s v="NA"/>
    <s v="NA"/>
    <s v="NA"/>
    <s v="NA"/>
    <m/>
  </r>
  <r>
    <n v="108"/>
    <n v="3"/>
    <d v="2023-06-28T00:00:00"/>
    <s v="9-10"/>
    <s v="A.gambiae"/>
    <s v="KDR"/>
    <x v="3"/>
    <n v="0.2"/>
    <n v="1"/>
    <n v="0"/>
    <n v="10"/>
    <n v="-1"/>
    <s v="perm"/>
    <s v="NA"/>
    <m/>
  </r>
  <r>
    <n v="109"/>
    <n v="3"/>
    <d v="2023-06-28T00:00:00"/>
    <s v="9-10"/>
    <s v="A.gambiae"/>
    <s v="KDR"/>
    <x v="3"/>
    <n v="0.2"/>
    <n v="0"/>
    <s v="NA"/>
    <s v="NA"/>
    <s v="NA"/>
    <s v="NA"/>
    <n v="0"/>
    <m/>
  </r>
  <r>
    <n v="110"/>
    <n v="3"/>
    <d v="2023-06-28T00:00:00"/>
    <s v="9-10"/>
    <s v="A.gambiae"/>
    <s v="KDR"/>
    <x v="3"/>
    <n v="0.2"/>
    <n v="1"/>
    <n v="6"/>
    <n v="0"/>
    <n v="1"/>
    <s v="eau"/>
    <s v="NA"/>
    <m/>
  </r>
  <r>
    <n v="111"/>
    <n v="3"/>
    <d v="2023-06-28T00:00:00"/>
    <s v="9-10"/>
    <s v="A.gambiae"/>
    <s v="KDR"/>
    <x v="4"/>
    <n v="2"/>
    <n v="0"/>
    <s v="NA"/>
    <s v="NA"/>
    <s v="NA"/>
    <s v="NA"/>
    <n v="1"/>
    <m/>
  </r>
  <r>
    <n v="112"/>
    <n v="3"/>
    <d v="2023-06-28T00:00:00"/>
    <s v="9-10"/>
    <s v="A.gambiae"/>
    <s v="KDR"/>
    <x v="4"/>
    <n v="2"/>
    <n v="1"/>
    <n v="18"/>
    <n v="17"/>
    <n v="2.8571428571428571E-2"/>
    <s v="eau"/>
    <s v="NA"/>
    <m/>
  </r>
  <r>
    <n v="113"/>
    <n v="3"/>
    <d v="2023-06-28T00:00:00"/>
    <s v="9-10"/>
    <s v="A.gambiae"/>
    <s v="KDR"/>
    <x v="4"/>
    <n v="2"/>
    <n v="0"/>
    <s v="NA"/>
    <s v="NA"/>
    <s v="NA"/>
    <s v="NA"/>
    <s v="NA"/>
    <s v="M"/>
  </r>
  <r>
    <n v="114"/>
    <n v="3"/>
    <d v="2023-06-28T00:00:00"/>
    <s v="9-10"/>
    <s v="A.gambiae"/>
    <s v="KDR"/>
    <x v="4"/>
    <n v="2"/>
    <n v="0"/>
    <s v="NA"/>
    <s v="NA"/>
    <s v="NA"/>
    <s v="NA"/>
    <n v="1"/>
    <m/>
  </r>
  <r>
    <n v="115"/>
    <n v="3"/>
    <d v="2023-06-28T00:00:00"/>
    <s v="9-10"/>
    <s v="A.gambiae"/>
    <s v="KDR"/>
    <x v="4"/>
    <n v="2"/>
    <n v="1"/>
    <n v="16"/>
    <n v="3"/>
    <n v="0.68421052631578949"/>
    <s v="eau"/>
    <s v="NA"/>
    <m/>
  </r>
  <r>
    <n v="116"/>
    <n v="3"/>
    <d v="2023-06-28T00:00:00"/>
    <s v="9-10"/>
    <s v="A.gambiae"/>
    <s v="KDR"/>
    <x v="4"/>
    <n v="2"/>
    <n v="0"/>
    <s v="NA"/>
    <s v="NA"/>
    <s v="NA"/>
    <s v="NA"/>
    <n v="1"/>
    <m/>
  </r>
  <r>
    <n v="117"/>
    <n v="3"/>
    <d v="2023-06-28T00:00:00"/>
    <s v="9-10"/>
    <s v="A.gambiae"/>
    <s v="KDR"/>
    <x v="4"/>
    <n v="2"/>
    <n v="1"/>
    <n v="0"/>
    <n v="20"/>
    <n v="-1"/>
    <s v="perm"/>
    <s v="NA"/>
    <s v="M"/>
  </r>
  <r>
    <n v="118"/>
    <n v="3"/>
    <d v="2023-06-28T00:00:00"/>
    <s v="9-10"/>
    <s v="A.gambiae"/>
    <s v="KDR"/>
    <x v="4"/>
    <n v="2"/>
    <n v="1"/>
    <n v="53"/>
    <n v="14"/>
    <n v="0.58208955223880599"/>
    <s v="eau"/>
    <s v="NA"/>
    <m/>
  </r>
  <r>
    <n v="119"/>
    <n v="3"/>
    <d v="2023-06-28T00:00:00"/>
    <s v="9-10"/>
    <s v="A.gambiae"/>
    <s v="KDR"/>
    <x v="4"/>
    <n v="2"/>
    <n v="1"/>
    <n v="22"/>
    <n v="0"/>
    <n v="1"/>
    <s v="eau"/>
    <s v="NA"/>
    <m/>
  </r>
  <r>
    <n v="120"/>
    <n v="3"/>
    <d v="2023-06-28T00:00:00"/>
    <s v="9-10"/>
    <s v="A.gambiae"/>
    <s v="KDR"/>
    <x v="4"/>
    <n v="2"/>
    <n v="1"/>
    <n v="67"/>
    <n v="0"/>
    <n v="1"/>
    <s v="eau"/>
    <s v="NA"/>
    <m/>
  </r>
  <r>
    <n v="121"/>
    <n v="4"/>
    <d v="2023-07-05T00:00:00"/>
    <s v="9-10"/>
    <s v="A.gambiae"/>
    <s v="KDR"/>
    <x v="0"/>
    <n v="0"/>
    <n v="0"/>
    <s v="NA"/>
    <s v="NA"/>
    <s v="NA"/>
    <s v="NA"/>
    <n v="1"/>
    <m/>
  </r>
  <r>
    <n v="122"/>
    <n v="4"/>
    <d v="2023-07-05T00:00:00"/>
    <s v="9-10"/>
    <s v="A.gambiae"/>
    <s v="KDR"/>
    <x v="0"/>
    <n v="0"/>
    <n v="1"/>
    <n v="13"/>
    <n v="6"/>
    <n v="0.36842105263157893"/>
    <s v="eau"/>
    <m/>
    <m/>
  </r>
  <r>
    <n v="123"/>
    <n v="4"/>
    <d v="2023-07-05T00:00:00"/>
    <s v="9-10"/>
    <s v="A.gambiae"/>
    <s v="KDR"/>
    <x v="0"/>
    <n v="0"/>
    <n v="1"/>
    <n v="4"/>
    <n v="7"/>
    <n v="-0.27272727272727271"/>
    <s v="perm"/>
    <m/>
    <m/>
  </r>
  <r>
    <n v="124"/>
    <n v="4"/>
    <d v="2023-07-05T00:00:00"/>
    <s v="9-10"/>
    <s v="A.gambiae"/>
    <s v="KDR"/>
    <x v="0"/>
    <n v="0"/>
    <n v="1"/>
    <n v="3"/>
    <n v="0"/>
    <n v="1"/>
    <s v="eau"/>
    <m/>
    <m/>
  </r>
  <r>
    <n v="125"/>
    <n v="4"/>
    <d v="2023-07-05T00:00:00"/>
    <s v="9-10"/>
    <s v="A.gambiae"/>
    <s v="KDR"/>
    <x v="0"/>
    <n v="0"/>
    <n v="1"/>
    <n v="54"/>
    <n v="0"/>
    <n v="1"/>
    <s v="eau"/>
    <m/>
    <m/>
  </r>
  <r>
    <n v="126"/>
    <n v="4"/>
    <d v="2023-07-05T00:00:00"/>
    <s v="9-10"/>
    <s v="A.gambiae"/>
    <s v="KDR"/>
    <x v="0"/>
    <n v="0"/>
    <n v="0"/>
    <s v="NA"/>
    <s v="NA"/>
    <s v="NA"/>
    <s v="NA"/>
    <n v="1"/>
    <m/>
  </r>
  <r>
    <n v="127"/>
    <n v="4"/>
    <d v="2023-07-05T00:00:00"/>
    <s v="9-10"/>
    <s v="A.gambiae"/>
    <s v="KDR"/>
    <x v="0"/>
    <n v="0"/>
    <n v="0"/>
    <s v="NA"/>
    <s v="NA"/>
    <s v="NA"/>
    <s v="NA"/>
    <n v="1"/>
    <m/>
  </r>
  <r>
    <n v="128"/>
    <n v="4"/>
    <d v="2023-07-05T00:00:00"/>
    <s v="9-10"/>
    <s v="A.gambiae"/>
    <s v="KDR"/>
    <x v="0"/>
    <n v="0"/>
    <n v="1"/>
    <n v="15"/>
    <n v="10"/>
    <n v="0.2"/>
    <s v="eau"/>
    <m/>
    <m/>
  </r>
  <r>
    <n v="129"/>
    <n v="4"/>
    <d v="2023-07-05T00:00:00"/>
    <s v="9-10"/>
    <s v="A.gambiae"/>
    <s v="KDR"/>
    <x v="0"/>
    <n v="0"/>
    <n v="0"/>
    <s v="NA"/>
    <s v="NA"/>
    <s v="NA"/>
    <s v="NA"/>
    <n v="1"/>
    <m/>
  </r>
  <r>
    <n v="130"/>
    <n v="4"/>
    <d v="2023-07-05T00:00:00"/>
    <s v="9-10"/>
    <s v="A.gambiae"/>
    <s v="KDR"/>
    <x v="0"/>
    <n v="0"/>
    <n v="0"/>
    <s v="NA"/>
    <s v="NA"/>
    <s v="NA"/>
    <s v="NA"/>
    <n v="1"/>
    <m/>
  </r>
  <r>
    <n v="131"/>
    <n v="4"/>
    <d v="2023-07-05T00:00:00"/>
    <s v="9-10"/>
    <s v="A.gambiae"/>
    <s v="KDR"/>
    <x v="2"/>
    <n v="0.02"/>
    <n v="0"/>
    <s v="NA"/>
    <s v="NA"/>
    <s v="NA"/>
    <s v="NA"/>
    <n v="1"/>
    <m/>
  </r>
  <r>
    <n v="132"/>
    <n v="4"/>
    <d v="2023-07-05T00:00:00"/>
    <s v="9-10"/>
    <s v="A.gambiae"/>
    <s v="KDR"/>
    <x v="2"/>
    <n v="0.02"/>
    <n v="1"/>
    <n v="0"/>
    <n v="28"/>
    <n v="-1"/>
    <s v="perm"/>
    <m/>
    <m/>
  </r>
  <r>
    <n v="133"/>
    <n v="4"/>
    <d v="2023-07-05T00:00:00"/>
    <s v="9-10"/>
    <s v="A.gambiae"/>
    <s v="KDR"/>
    <x v="2"/>
    <n v="0.02"/>
    <n v="1"/>
    <n v="20"/>
    <n v="0"/>
    <n v="1"/>
    <s v="eau"/>
    <m/>
    <m/>
  </r>
  <r>
    <n v="134"/>
    <n v="4"/>
    <d v="2023-07-05T00:00:00"/>
    <s v="9-10"/>
    <s v="A.gambiae"/>
    <s v="KDR"/>
    <x v="2"/>
    <n v="0.02"/>
    <n v="0"/>
    <s v="NA"/>
    <s v="NA"/>
    <s v="NA"/>
    <s v="NA"/>
    <n v="1"/>
    <m/>
  </r>
  <r>
    <n v="135"/>
    <n v="4"/>
    <d v="2023-07-05T00:00:00"/>
    <s v="9-10"/>
    <s v="A.gambiae"/>
    <s v="KDR"/>
    <x v="2"/>
    <n v="0.02"/>
    <n v="0"/>
    <s v="NA"/>
    <s v="NA"/>
    <s v="NA"/>
    <s v="NA"/>
    <n v="1"/>
    <m/>
  </r>
  <r>
    <n v="136"/>
    <n v="4"/>
    <d v="2023-07-05T00:00:00"/>
    <s v="9-10"/>
    <s v="A.gambiae"/>
    <s v="KDR"/>
    <x v="2"/>
    <n v="0.02"/>
    <n v="1"/>
    <n v="22"/>
    <n v="0"/>
    <n v="1"/>
    <s v="eau"/>
    <m/>
    <m/>
  </r>
  <r>
    <n v="137"/>
    <n v="4"/>
    <d v="2023-07-05T00:00:00"/>
    <s v="9-10"/>
    <s v="A.gambiae"/>
    <s v="KDR"/>
    <x v="2"/>
    <n v="0.02"/>
    <n v="0"/>
    <s v="NA"/>
    <s v="NA"/>
    <s v="NA"/>
    <s v="NA"/>
    <n v="1"/>
    <m/>
  </r>
  <r>
    <n v="138"/>
    <n v="4"/>
    <d v="2023-07-05T00:00:00"/>
    <s v="9-10"/>
    <s v="A.gambiae"/>
    <s v="KDR"/>
    <x v="2"/>
    <n v="0.02"/>
    <n v="0"/>
    <s v="NA"/>
    <s v="NA"/>
    <s v="NA"/>
    <s v="NA"/>
    <n v="1"/>
    <m/>
  </r>
  <r>
    <n v="139"/>
    <n v="4"/>
    <d v="2023-07-05T00:00:00"/>
    <s v="9-10"/>
    <s v="A.gambiae"/>
    <s v="KDR"/>
    <x v="2"/>
    <n v="0.02"/>
    <n v="1"/>
    <n v="43"/>
    <n v="5"/>
    <n v="0.79166666666666663"/>
    <s v="eau"/>
    <m/>
    <m/>
  </r>
  <r>
    <n v="140"/>
    <n v="4"/>
    <d v="2023-07-05T00:00:00"/>
    <s v="9-10"/>
    <s v="A.gambiae"/>
    <s v="KDR"/>
    <x v="2"/>
    <n v="0.02"/>
    <n v="0"/>
    <s v="NA"/>
    <s v="NA"/>
    <s v="NA"/>
    <s v="NA"/>
    <n v="1"/>
    <m/>
  </r>
  <r>
    <n v="141"/>
    <n v="4"/>
    <d v="2023-07-05T00:00:00"/>
    <s v="9-10"/>
    <s v="A.gambiae"/>
    <s v="KDR"/>
    <x v="3"/>
    <n v="0.2"/>
    <n v="0"/>
    <s v="NA"/>
    <s v="NA"/>
    <s v="NA"/>
    <s v="NA"/>
    <n v="1"/>
    <m/>
  </r>
  <r>
    <n v="142"/>
    <n v="4"/>
    <d v="2023-07-05T00:00:00"/>
    <s v="9-10"/>
    <s v="A.gambiae"/>
    <s v="KDR"/>
    <x v="3"/>
    <n v="0.2"/>
    <n v="0"/>
    <s v="NA"/>
    <s v="NA"/>
    <s v="NA"/>
    <s v="NA"/>
    <n v="1"/>
    <m/>
  </r>
  <r>
    <n v="143"/>
    <n v="4"/>
    <d v="2023-07-05T00:00:00"/>
    <s v="9-10"/>
    <s v="A.gambiae"/>
    <s v="KDR"/>
    <x v="3"/>
    <n v="0.2"/>
    <n v="1"/>
    <n v="0"/>
    <n v="22"/>
    <n v="-1"/>
    <s v="perm"/>
    <m/>
    <m/>
  </r>
  <r>
    <n v="144"/>
    <n v="4"/>
    <d v="2023-07-05T00:00:00"/>
    <s v="9-10"/>
    <s v="A.gambiae"/>
    <s v="KDR"/>
    <x v="3"/>
    <n v="0.2"/>
    <n v="0"/>
    <s v="NA"/>
    <s v="NA"/>
    <s v="NA"/>
    <s v="NA"/>
    <n v="0"/>
    <m/>
  </r>
  <r>
    <n v="145"/>
    <n v="4"/>
    <d v="2023-07-05T00:00:00"/>
    <s v="9-10"/>
    <s v="A.gambiae"/>
    <s v="KDR"/>
    <x v="3"/>
    <n v="0.2"/>
    <n v="0"/>
    <s v="NA"/>
    <s v="NA"/>
    <s v="NA"/>
    <s v="NA"/>
    <n v="1"/>
    <m/>
  </r>
  <r>
    <n v="146"/>
    <n v="4"/>
    <d v="2023-07-05T00:00:00"/>
    <s v="9-10"/>
    <s v="A.gambiae"/>
    <s v="KDR"/>
    <x v="3"/>
    <n v="0.2"/>
    <n v="0"/>
    <s v="NA"/>
    <s v="NA"/>
    <s v="NA"/>
    <s v="NA"/>
    <n v="0"/>
    <m/>
  </r>
  <r>
    <n v="147"/>
    <n v="4"/>
    <d v="2023-07-05T00:00:00"/>
    <s v="9-10"/>
    <s v="A.gambiae"/>
    <s v="KDR"/>
    <x v="3"/>
    <n v="0.2"/>
    <n v="1"/>
    <n v="13"/>
    <n v="0"/>
    <n v="1"/>
    <s v="eau"/>
    <m/>
    <m/>
  </r>
  <r>
    <n v="148"/>
    <n v="4"/>
    <d v="2023-07-05T00:00:00"/>
    <s v="9-10"/>
    <s v="A.gambiae"/>
    <s v="KDR"/>
    <x v="3"/>
    <n v="0.2"/>
    <n v="1"/>
    <n v="0"/>
    <n v="11"/>
    <n v="-1"/>
    <s v="perm"/>
    <m/>
    <m/>
  </r>
  <r>
    <n v="149"/>
    <n v="4"/>
    <d v="2023-07-05T00:00:00"/>
    <s v="9-10"/>
    <s v="A.gambiae"/>
    <s v="KDR"/>
    <x v="3"/>
    <n v="0.2"/>
    <n v="0"/>
    <s v="NA"/>
    <s v="NA"/>
    <s v="NA"/>
    <s v="NA"/>
    <n v="1"/>
    <m/>
  </r>
  <r>
    <n v="150"/>
    <n v="4"/>
    <d v="2023-07-05T00:00:00"/>
    <s v="9-10"/>
    <s v="A.gambiae"/>
    <s v="KDR"/>
    <x v="3"/>
    <n v="0.2"/>
    <n v="0"/>
    <s v="NA"/>
    <s v="NA"/>
    <s v="NA"/>
    <s v="NA"/>
    <n v="1"/>
    <m/>
  </r>
  <r>
    <n v="151"/>
    <n v="4"/>
    <d v="2023-07-05T00:00:00"/>
    <s v="9-10"/>
    <s v="A.gambiae"/>
    <s v="KDR"/>
    <x v="4"/>
    <n v="2"/>
    <n v="0"/>
    <s v="NA"/>
    <s v="NA"/>
    <s v="NA"/>
    <s v="NA"/>
    <s v="NA"/>
    <m/>
  </r>
  <r>
    <n v="152"/>
    <n v="4"/>
    <d v="2023-07-05T00:00:00"/>
    <s v="9-10"/>
    <s v="A.gambiae"/>
    <s v="KDR"/>
    <x v="4"/>
    <n v="2"/>
    <n v="1"/>
    <n v="1"/>
    <n v="0"/>
    <n v="1"/>
    <s v="eau"/>
    <m/>
    <m/>
  </r>
  <r>
    <n v="153"/>
    <n v="4"/>
    <d v="2023-07-05T00:00:00"/>
    <s v="9-10"/>
    <s v="A.gambiae"/>
    <s v="KDR"/>
    <x v="4"/>
    <n v="2"/>
    <n v="0"/>
    <s v="NA"/>
    <s v="NA"/>
    <s v="NA"/>
    <s v="NA"/>
    <n v="1"/>
    <m/>
  </r>
  <r>
    <n v="154"/>
    <n v="4"/>
    <d v="2023-07-05T00:00:00"/>
    <s v="9-10"/>
    <s v="A.gambiae"/>
    <s v="KDR"/>
    <x v="4"/>
    <n v="2"/>
    <n v="0"/>
    <s v="NA"/>
    <s v="NA"/>
    <s v="NA"/>
    <s v="NA"/>
    <n v="1"/>
    <m/>
  </r>
  <r>
    <n v="155"/>
    <n v="4"/>
    <d v="2023-07-05T00:00:00"/>
    <s v="9-10"/>
    <s v="A.gambiae"/>
    <s v="KDR"/>
    <x v="4"/>
    <n v="2"/>
    <n v="0"/>
    <s v="NA"/>
    <s v="NA"/>
    <s v="NA"/>
    <s v="NA"/>
    <n v="0"/>
    <m/>
  </r>
  <r>
    <n v="156"/>
    <n v="4"/>
    <d v="2023-07-05T00:00:00"/>
    <s v="9-10"/>
    <s v="A.gambiae"/>
    <s v="KDR"/>
    <x v="4"/>
    <n v="2"/>
    <n v="0"/>
    <s v="NA"/>
    <s v="NA"/>
    <s v="NA"/>
    <s v="NA"/>
    <n v="1"/>
    <m/>
  </r>
  <r>
    <n v="157"/>
    <n v="4"/>
    <d v="2023-07-05T00:00:00"/>
    <s v="9-10"/>
    <s v="A.gambiae"/>
    <s v="KDR"/>
    <x v="4"/>
    <n v="2"/>
    <n v="0"/>
    <s v="NA"/>
    <s v="NA"/>
    <s v="NA"/>
    <s v="NA"/>
    <s v="NA"/>
    <m/>
  </r>
  <r>
    <n v="158"/>
    <n v="4"/>
    <d v="2023-07-05T00:00:00"/>
    <s v="9-10"/>
    <s v="A.gambiae"/>
    <s v="KDR"/>
    <x v="4"/>
    <n v="2"/>
    <n v="0"/>
    <s v="NA"/>
    <s v="NA"/>
    <s v="NA"/>
    <s v="NA"/>
    <n v="1"/>
    <m/>
  </r>
  <r>
    <n v="159"/>
    <n v="4"/>
    <d v="2023-07-05T00:00:00"/>
    <s v="9-10"/>
    <s v="A.gambiae"/>
    <s v="KDR"/>
    <x v="4"/>
    <n v="2"/>
    <n v="1"/>
    <n v="52"/>
    <n v="0"/>
    <n v="1"/>
    <s v="eau"/>
    <m/>
    <m/>
  </r>
  <r>
    <n v="160"/>
    <n v="4"/>
    <d v="2023-07-05T00:00:00"/>
    <s v="9-10"/>
    <s v="A.gambiae"/>
    <s v="KDR"/>
    <x v="4"/>
    <n v="2"/>
    <n v="1"/>
    <n v="17"/>
    <n v="0"/>
    <n v="1"/>
    <s v="eau"/>
    <m/>
    <m/>
  </r>
  <r>
    <n v="161"/>
    <n v="5"/>
    <d v="2023-07-12T00:00:00"/>
    <s v="9-10"/>
    <s v="A.gambiae"/>
    <s v="KDR"/>
    <x v="0"/>
    <n v="0"/>
    <n v="0"/>
    <s v="NA"/>
    <s v="NA"/>
    <s v="NA"/>
    <s v="NA"/>
    <n v="1"/>
    <m/>
  </r>
  <r>
    <n v="162"/>
    <n v="5"/>
    <d v="2023-07-12T00:00:00"/>
    <s v="9-10"/>
    <s v="A.gambiae"/>
    <s v="KDR"/>
    <x v="0"/>
    <n v="0"/>
    <n v="0"/>
    <s v="NA"/>
    <s v="NA"/>
    <s v="NA"/>
    <s v="NA"/>
    <s v="NA"/>
    <m/>
  </r>
  <r>
    <n v="163"/>
    <n v="5"/>
    <d v="2023-07-12T00:00:00"/>
    <s v="9-10"/>
    <s v="A.gambiae"/>
    <s v="KDR"/>
    <x v="0"/>
    <n v="0"/>
    <n v="1"/>
    <n v="91"/>
    <n v="0"/>
    <n v="1"/>
    <s v="eau"/>
    <m/>
    <m/>
  </r>
  <r>
    <n v="164"/>
    <n v="5"/>
    <d v="2023-07-12T00:00:00"/>
    <s v="9-10"/>
    <s v="A.gambiae"/>
    <s v="KDR"/>
    <x v="0"/>
    <n v="0"/>
    <n v="1"/>
    <n v="12"/>
    <n v="3"/>
    <n v="0.6"/>
    <s v="eau"/>
    <m/>
    <m/>
  </r>
  <r>
    <n v="165"/>
    <n v="5"/>
    <d v="2023-07-12T00:00:00"/>
    <s v="9-10"/>
    <s v="A.gambiae"/>
    <s v="KDR"/>
    <x v="0"/>
    <n v="0"/>
    <n v="1"/>
    <n v="14"/>
    <n v="17"/>
    <n v="-9.6774193548387094E-2"/>
    <s v="perm"/>
    <m/>
    <m/>
  </r>
  <r>
    <n v="166"/>
    <n v="5"/>
    <d v="2023-07-12T00:00:00"/>
    <s v="9-10"/>
    <s v="A.gambiae"/>
    <s v="KDR"/>
    <x v="0"/>
    <n v="0"/>
    <n v="1"/>
    <n v="12"/>
    <n v="15"/>
    <n v="-0.1111111111111111"/>
    <s v="perm"/>
    <m/>
    <m/>
  </r>
  <r>
    <n v="167"/>
    <n v="5"/>
    <d v="2023-07-12T00:00:00"/>
    <s v="9-10"/>
    <s v="A.gambiae"/>
    <s v="KDR"/>
    <x v="0"/>
    <n v="0"/>
    <n v="1"/>
    <n v="36"/>
    <n v="0"/>
    <n v="1"/>
    <s v="eau"/>
    <m/>
    <m/>
  </r>
  <r>
    <n v="168"/>
    <n v="5"/>
    <d v="2023-07-12T00:00:00"/>
    <s v="9-10"/>
    <s v="A.gambiae"/>
    <s v="KDR"/>
    <x v="0"/>
    <n v="0"/>
    <n v="1"/>
    <n v="1"/>
    <n v="58"/>
    <n v="-0.96610169491525422"/>
    <s v="perm"/>
    <m/>
    <m/>
  </r>
  <r>
    <n v="169"/>
    <n v="5"/>
    <d v="2023-07-12T00:00:00"/>
    <s v="9-10"/>
    <s v="A.gambiae"/>
    <s v="KDR"/>
    <x v="0"/>
    <n v="0"/>
    <n v="1"/>
    <n v="0"/>
    <n v="10"/>
    <n v="-1"/>
    <s v="perm"/>
    <m/>
    <m/>
  </r>
  <r>
    <n v="170"/>
    <n v="5"/>
    <d v="2023-07-12T00:00:00"/>
    <s v="9-10"/>
    <s v="A.gambiae"/>
    <s v="KDR"/>
    <x v="0"/>
    <n v="0"/>
    <n v="1"/>
    <n v="10"/>
    <n v="25"/>
    <n v="-0.42857142857142855"/>
    <s v="perm"/>
    <m/>
    <m/>
  </r>
  <r>
    <n v="171"/>
    <n v="5"/>
    <d v="2023-07-12T00:00:00"/>
    <s v="9-10"/>
    <s v="A.gambiae"/>
    <s v="KDR"/>
    <x v="2"/>
    <n v="0.02"/>
    <n v="1"/>
    <n v="36"/>
    <n v="22"/>
    <n v="0.2413793103448276"/>
    <s v="eau"/>
    <m/>
    <m/>
  </r>
  <r>
    <n v="172"/>
    <n v="5"/>
    <d v="2023-07-12T00:00:00"/>
    <s v="9-10"/>
    <s v="A.gambiae"/>
    <s v="KDR"/>
    <x v="2"/>
    <n v="0.02"/>
    <n v="0"/>
    <s v="NA"/>
    <s v="NA"/>
    <s v="NA"/>
    <s v="NA"/>
    <n v="1"/>
    <m/>
  </r>
  <r>
    <n v="173"/>
    <n v="5"/>
    <d v="2023-07-12T00:00:00"/>
    <s v="9-10"/>
    <s v="A.gambiae"/>
    <s v="KDR"/>
    <x v="2"/>
    <n v="0.02"/>
    <n v="1"/>
    <n v="4"/>
    <n v="34"/>
    <n v="-0.78947368421052633"/>
    <s v="perm"/>
    <m/>
    <m/>
  </r>
  <r>
    <n v="174"/>
    <n v="5"/>
    <d v="2023-07-12T00:00:00"/>
    <s v="9-10"/>
    <s v="A.gambiae"/>
    <s v="KDR"/>
    <x v="2"/>
    <n v="0.02"/>
    <n v="1"/>
    <n v="0"/>
    <n v="32"/>
    <n v="-1"/>
    <s v="perm"/>
    <m/>
    <m/>
  </r>
  <r>
    <n v="175"/>
    <n v="5"/>
    <d v="2023-07-12T00:00:00"/>
    <s v="9-10"/>
    <s v="A.gambiae"/>
    <s v="KDR"/>
    <x v="2"/>
    <n v="0.02"/>
    <n v="1"/>
    <n v="0"/>
    <n v="27"/>
    <n v="-1"/>
    <s v="perm"/>
    <m/>
    <m/>
  </r>
  <r>
    <n v="176"/>
    <n v="5"/>
    <d v="2023-07-12T00:00:00"/>
    <s v="9-10"/>
    <s v="A.gambiae"/>
    <s v="KDR"/>
    <x v="2"/>
    <n v="0.02"/>
    <n v="1"/>
    <n v="46"/>
    <n v="10"/>
    <n v="0.6428571428571429"/>
    <s v="eau"/>
    <m/>
    <m/>
  </r>
  <r>
    <n v="177"/>
    <n v="5"/>
    <d v="2023-07-12T00:00:00"/>
    <s v="9-10"/>
    <s v="A.gambiae"/>
    <s v="KDR"/>
    <x v="2"/>
    <n v="0.02"/>
    <n v="1"/>
    <n v="0"/>
    <n v="8"/>
    <n v="-1"/>
    <s v="perm"/>
    <m/>
    <m/>
  </r>
  <r>
    <n v="178"/>
    <n v="5"/>
    <d v="2023-07-12T00:00:00"/>
    <s v="9-10"/>
    <s v="A.gambiae"/>
    <s v="KDR"/>
    <x v="2"/>
    <n v="0.02"/>
    <n v="1"/>
    <n v="12"/>
    <n v="22"/>
    <n v="-0.29411764705882354"/>
    <s v="perm"/>
    <m/>
    <m/>
  </r>
  <r>
    <n v="179"/>
    <n v="5"/>
    <d v="2023-07-12T00:00:00"/>
    <s v="9-10"/>
    <s v="A.gambiae"/>
    <s v="KDR"/>
    <x v="2"/>
    <n v="0.02"/>
    <n v="0"/>
    <s v="NA"/>
    <s v="NA"/>
    <s v="NA"/>
    <s v="NA"/>
    <n v="1"/>
    <m/>
  </r>
  <r>
    <n v="180"/>
    <n v="5"/>
    <d v="2023-07-12T00:00:00"/>
    <s v="9-10"/>
    <s v="A.gambiae"/>
    <s v="KDR"/>
    <x v="2"/>
    <n v="0.02"/>
    <n v="1"/>
    <n v="0"/>
    <n v="43"/>
    <n v="-1"/>
    <s v="perm"/>
    <m/>
    <m/>
  </r>
  <r>
    <n v="181"/>
    <n v="5"/>
    <d v="2023-07-12T00:00:00"/>
    <s v="9-10"/>
    <s v="A.gambiae"/>
    <s v="KDR"/>
    <x v="3"/>
    <n v="0.2"/>
    <n v="1"/>
    <n v="0"/>
    <n v="12"/>
    <n v="-1"/>
    <s v="perm"/>
    <m/>
    <m/>
  </r>
  <r>
    <n v="182"/>
    <n v="5"/>
    <d v="2023-07-12T00:00:00"/>
    <s v="9-10"/>
    <s v="A.gambiae"/>
    <s v="KDR"/>
    <x v="3"/>
    <n v="0.2"/>
    <n v="1"/>
    <n v="85"/>
    <n v="1"/>
    <n v="0.97674418604651159"/>
    <s v="eau"/>
    <m/>
    <m/>
  </r>
  <r>
    <n v="183"/>
    <n v="5"/>
    <d v="2023-07-12T00:00:00"/>
    <s v="9-10"/>
    <s v="A.gambiae"/>
    <s v="KDR"/>
    <x v="3"/>
    <n v="0.2"/>
    <n v="0"/>
    <s v="NA"/>
    <s v="NA"/>
    <s v="NA"/>
    <s v="NA"/>
    <n v="0"/>
    <m/>
  </r>
  <r>
    <n v="184"/>
    <n v="5"/>
    <d v="2023-07-12T00:00:00"/>
    <s v="9-10"/>
    <s v="A.gambiae"/>
    <s v="KDR"/>
    <x v="3"/>
    <n v="0.2"/>
    <n v="1"/>
    <n v="0"/>
    <n v="45"/>
    <n v="-1"/>
    <s v="perm"/>
    <m/>
    <m/>
  </r>
  <r>
    <n v="185"/>
    <n v="5"/>
    <d v="2023-07-12T00:00:00"/>
    <s v="9-10"/>
    <s v="A.gambiae"/>
    <s v="KDR"/>
    <x v="3"/>
    <n v="0.2"/>
    <n v="1"/>
    <n v="10"/>
    <n v="42"/>
    <n v="-0.61538461538461542"/>
    <s v="perm"/>
    <m/>
    <m/>
  </r>
  <r>
    <n v="186"/>
    <n v="5"/>
    <d v="2023-07-12T00:00:00"/>
    <s v="9-10"/>
    <s v="A.gambiae"/>
    <s v="KDR"/>
    <x v="3"/>
    <n v="0.2"/>
    <n v="1"/>
    <n v="27"/>
    <n v="25"/>
    <n v="3.8461538461538464E-2"/>
    <s v="eau"/>
    <m/>
    <m/>
  </r>
  <r>
    <n v="187"/>
    <n v="5"/>
    <d v="2023-07-12T00:00:00"/>
    <s v="9-10"/>
    <s v="A.gambiae"/>
    <s v="KDR"/>
    <x v="3"/>
    <n v="0.2"/>
    <n v="1"/>
    <n v="47"/>
    <n v="0"/>
    <n v="1"/>
    <s v="eau"/>
    <m/>
    <m/>
  </r>
  <r>
    <n v="188"/>
    <n v="5"/>
    <d v="2023-07-12T00:00:00"/>
    <s v="9-10"/>
    <s v="A.gambiae"/>
    <s v="KDR"/>
    <x v="3"/>
    <n v="0.2"/>
    <n v="1"/>
    <n v="15"/>
    <n v="0"/>
    <n v="1"/>
    <s v="eau"/>
    <m/>
    <m/>
  </r>
  <r>
    <n v="189"/>
    <n v="5"/>
    <d v="2023-07-12T00:00:00"/>
    <s v="9-10"/>
    <s v="A.gambiae"/>
    <s v="KDR"/>
    <x v="3"/>
    <n v="0.2"/>
    <n v="0"/>
    <s v="NA"/>
    <s v="NA"/>
    <s v="NA"/>
    <s v="NA"/>
    <n v="1"/>
    <m/>
  </r>
  <r>
    <n v="190"/>
    <n v="5"/>
    <d v="2023-07-12T00:00:00"/>
    <s v="9-10"/>
    <s v="A.gambiae"/>
    <s v="KDR"/>
    <x v="3"/>
    <n v="0.2"/>
    <n v="1"/>
    <n v="17"/>
    <n v="21"/>
    <n v="-0.10526315789473684"/>
    <s v="perm"/>
    <m/>
    <m/>
  </r>
  <r>
    <n v="191"/>
    <n v="5"/>
    <d v="2023-07-12T00:00:00"/>
    <s v="9-10"/>
    <s v="A.gambiae"/>
    <s v="KDR"/>
    <x v="4"/>
    <n v="2"/>
    <n v="0"/>
    <s v="NA"/>
    <s v="NA"/>
    <s v="NA"/>
    <s v="NA"/>
    <s v="NA"/>
    <m/>
  </r>
  <r>
    <n v="192"/>
    <n v="5"/>
    <d v="2023-07-12T00:00:00"/>
    <s v="9-10"/>
    <s v="A.gambiae"/>
    <s v="KDR"/>
    <x v="4"/>
    <n v="2"/>
    <n v="1"/>
    <n v="0"/>
    <n v="19"/>
    <n v="-1"/>
    <s v="perm"/>
    <m/>
    <m/>
  </r>
  <r>
    <n v="193"/>
    <n v="5"/>
    <d v="2023-07-12T00:00:00"/>
    <s v="9-10"/>
    <s v="A.gambiae"/>
    <s v="KDR"/>
    <x v="4"/>
    <n v="2"/>
    <n v="1"/>
    <n v="34"/>
    <n v="18"/>
    <n v="0.30769230769230771"/>
    <s v="eau"/>
    <m/>
    <m/>
  </r>
  <r>
    <n v="194"/>
    <n v="5"/>
    <d v="2023-07-12T00:00:00"/>
    <s v="9-10"/>
    <s v="A.gambiae"/>
    <s v="KDR"/>
    <x v="4"/>
    <n v="2"/>
    <n v="0"/>
    <s v="NA"/>
    <s v="NA"/>
    <s v="NA"/>
    <s v="NA"/>
    <n v="1"/>
    <m/>
  </r>
  <r>
    <n v="195"/>
    <n v="5"/>
    <d v="2023-07-12T00:00:00"/>
    <s v="9-10"/>
    <s v="A.gambiae"/>
    <s v="KDR"/>
    <x v="4"/>
    <n v="2"/>
    <n v="1"/>
    <n v="1"/>
    <n v="0"/>
    <n v="1"/>
    <s v="eau"/>
    <m/>
    <m/>
  </r>
  <r>
    <n v="196"/>
    <n v="5"/>
    <d v="2023-07-12T00:00:00"/>
    <s v="9-10"/>
    <s v="A.gambiae"/>
    <s v="KDR"/>
    <x v="4"/>
    <n v="2"/>
    <n v="1"/>
    <n v="12"/>
    <n v="32"/>
    <n v="-0.45454545454545453"/>
    <s v="perm"/>
    <m/>
    <m/>
  </r>
  <r>
    <n v="197"/>
    <n v="5"/>
    <d v="2023-07-12T00:00:00"/>
    <s v="9-10"/>
    <s v="A.gambiae"/>
    <s v="KDR"/>
    <x v="4"/>
    <n v="2"/>
    <n v="1"/>
    <n v="24"/>
    <n v="25"/>
    <n v="-2.0408163265306121E-2"/>
    <s v="perm"/>
    <m/>
    <m/>
  </r>
  <r>
    <n v="198"/>
    <n v="5"/>
    <d v="2023-07-12T00:00:00"/>
    <s v="9-10"/>
    <s v="A.gambiae"/>
    <s v="KDR"/>
    <x v="4"/>
    <n v="2"/>
    <n v="1"/>
    <n v="6"/>
    <n v="33"/>
    <n v="-0.69230769230769229"/>
    <s v="perm"/>
    <m/>
    <m/>
  </r>
  <r>
    <n v="199"/>
    <n v="5"/>
    <d v="2023-07-12T00:00:00"/>
    <s v="9-10"/>
    <s v="A.gambiae"/>
    <s v="KDR"/>
    <x v="4"/>
    <n v="2"/>
    <n v="0"/>
    <s v="NA"/>
    <s v="NA"/>
    <s v="NA"/>
    <s v="NA"/>
    <s v="NA"/>
    <m/>
  </r>
  <r>
    <n v="200"/>
    <n v="5"/>
    <d v="2023-07-12T00:00:00"/>
    <s v="9-10"/>
    <s v="A.gambiae"/>
    <s v="KDR"/>
    <x v="4"/>
    <n v="2"/>
    <n v="0"/>
    <s v="NA"/>
    <s v="NA"/>
    <s v="NA"/>
    <s v="NA"/>
    <s v="NA"/>
    <m/>
  </r>
  <r>
    <m/>
    <m/>
    <m/>
    <m/>
    <m/>
    <m/>
    <x v="5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4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4">
  <location ref="A3:C8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h="1" x="1"/>
        <item x="2"/>
        <item x="3"/>
        <item x="4"/>
        <item h="1"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5">
    <i>
      <x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Moyenne de index" fld="11" subtotal="average" baseField="6" baseItem="0"/>
    <dataField name="Écartype de index" fld="11" subtotal="stdDev" baseField="6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1" cacheId="4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2">
  <location ref="A3:E8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h="1" x="1"/>
        <item x="2"/>
        <item x="3"/>
        <item h="1" x="5"/>
        <item x="4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2"/>
    </i>
    <i>
      <x v="3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oyenne de nb_oeuf_eau" fld="9" subtotal="average" baseField="6" baseItem="0"/>
    <dataField name="Moyenne de nb_oeuf_perm" fld="10" subtotal="average" baseField="6" baseItem="0"/>
    <dataField name="Écartype de nb_oeuf_eau" fld="9" subtotal="stdDev" baseField="6" baseItem="0"/>
    <dataField name="Écartype de nb_oeuf_perm" fld="10" subtotal="stdDev" baseField="6" baseItem="0"/>
  </dataFields>
  <chartFormats count="4">
    <chartFormat chart="1" format="9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9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96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"/>
  <sheetViews>
    <sheetView workbookViewId="0">
      <pane ySplit="1" topLeftCell="A20" activePane="bottomLeft" state="frozen"/>
      <selection pane="bottomLeft" activeCell="C29" sqref="C29"/>
    </sheetView>
  </sheetViews>
  <sheetFormatPr baseColWidth="10" defaultRowHeight="15" x14ac:dyDescent="0.25"/>
  <cols>
    <col min="4" max="4" width="11.42578125" style="9"/>
  </cols>
  <sheetData>
    <row r="1" spans="1:15" s="6" customFormat="1" ht="60" x14ac:dyDescent="0.25">
      <c r="A1" s="1" t="s">
        <v>0</v>
      </c>
      <c r="B1" s="1" t="s">
        <v>1</v>
      </c>
      <c r="C1" s="2" t="s">
        <v>2</v>
      </c>
      <c r="D1" s="8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5" t="s">
        <v>10</v>
      </c>
      <c r="L1" s="5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>
        <v>1</v>
      </c>
      <c r="C2" s="7">
        <v>45076</v>
      </c>
      <c r="D2" s="9" t="s">
        <v>15</v>
      </c>
      <c r="E2" t="s">
        <v>16</v>
      </c>
      <c r="F2" t="s">
        <v>17</v>
      </c>
      <c r="G2" t="s">
        <v>18</v>
      </c>
      <c r="H2">
        <v>0</v>
      </c>
      <c r="I2">
        <v>1</v>
      </c>
      <c r="J2">
        <v>66</v>
      </c>
      <c r="K2">
        <v>0</v>
      </c>
      <c r="L2">
        <f>(J2-K2)/(J2+K2)</f>
        <v>1</v>
      </c>
      <c r="M2" t="s">
        <v>27</v>
      </c>
      <c r="N2" t="s">
        <v>19</v>
      </c>
    </row>
    <row r="3" spans="1:15" x14ac:dyDescent="0.25">
      <c r="A3">
        <v>2</v>
      </c>
      <c r="B3">
        <v>1</v>
      </c>
      <c r="C3" s="7">
        <v>45076</v>
      </c>
      <c r="D3" s="9" t="s">
        <v>15</v>
      </c>
      <c r="E3" t="s">
        <v>16</v>
      </c>
      <c r="F3" t="s">
        <v>17</v>
      </c>
      <c r="G3" t="s">
        <v>18</v>
      </c>
      <c r="H3">
        <v>0</v>
      </c>
      <c r="I3">
        <v>1</v>
      </c>
      <c r="J3">
        <v>48</v>
      </c>
      <c r="K3">
        <v>17</v>
      </c>
      <c r="L3">
        <f t="shared" ref="L3:L63" si="0">(J3-K3)/(J3+K3)</f>
        <v>0.47692307692307695</v>
      </c>
      <c r="M3" t="s">
        <v>27</v>
      </c>
      <c r="N3" t="s">
        <v>19</v>
      </c>
    </row>
    <row r="4" spans="1:15" x14ac:dyDescent="0.25">
      <c r="A4">
        <v>3</v>
      </c>
      <c r="B4">
        <v>1</v>
      </c>
      <c r="C4" s="7">
        <v>45076</v>
      </c>
      <c r="D4" s="9" t="s">
        <v>15</v>
      </c>
      <c r="E4" t="s">
        <v>16</v>
      </c>
      <c r="F4" t="s">
        <v>17</v>
      </c>
      <c r="G4" t="s">
        <v>18</v>
      </c>
      <c r="H4">
        <v>0</v>
      </c>
      <c r="I4">
        <v>1</v>
      </c>
      <c r="J4">
        <v>87</v>
      </c>
      <c r="K4">
        <v>2</v>
      </c>
      <c r="L4">
        <f t="shared" si="0"/>
        <v>0.9550561797752809</v>
      </c>
      <c r="M4" t="s">
        <v>27</v>
      </c>
      <c r="N4" t="s">
        <v>19</v>
      </c>
    </row>
    <row r="5" spans="1:15" x14ac:dyDescent="0.25">
      <c r="A5">
        <v>4</v>
      </c>
      <c r="B5">
        <v>1</v>
      </c>
      <c r="C5" s="7">
        <v>45076</v>
      </c>
      <c r="D5" s="9" t="s">
        <v>15</v>
      </c>
      <c r="E5" t="s">
        <v>16</v>
      </c>
      <c r="F5" t="s">
        <v>17</v>
      </c>
      <c r="G5" t="s">
        <v>18</v>
      </c>
      <c r="H5">
        <v>0</v>
      </c>
      <c r="I5">
        <v>0</v>
      </c>
      <c r="J5" t="s">
        <v>19</v>
      </c>
      <c r="K5" t="s">
        <v>19</v>
      </c>
      <c r="L5" t="s">
        <v>19</v>
      </c>
      <c r="M5" t="s">
        <v>19</v>
      </c>
      <c r="N5">
        <v>1</v>
      </c>
    </row>
    <row r="6" spans="1:15" x14ac:dyDescent="0.25">
      <c r="A6">
        <v>5</v>
      </c>
      <c r="B6">
        <v>1</v>
      </c>
      <c r="C6" s="7">
        <v>45076</v>
      </c>
      <c r="D6" s="9" t="s">
        <v>15</v>
      </c>
      <c r="E6" t="s">
        <v>16</v>
      </c>
      <c r="F6" t="s">
        <v>17</v>
      </c>
      <c r="G6" t="s">
        <v>18</v>
      </c>
      <c r="H6">
        <v>0</v>
      </c>
      <c r="I6">
        <v>1</v>
      </c>
      <c r="J6">
        <v>51</v>
      </c>
      <c r="K6">
        <v>0</v>
      </c>
      <c r="L6">
        <f t="shared" si="0"/>
        <v>1</v>
      </c>
      <c r="M6" t="s">
        <v>27</v>
      </c>
      <c r="N6" t="s">
        <v>19</v>
      </c>
    </row>
    <row r="7" spans="1:15" x14ac:dyDescent="0.25">
      <c r="A7">
        <v>6</v>
      </c>
      <c r="B7">
        <v>1</v>
      </c>
      <c r="C7" s="7">
        <v>45076</v>
      </c>
      <c r="D7" s="9" t="s">
        <v>15</v>
      </c>
      <c r="E7" t="s">
        <v>16</v>
      </c>
      <c r="F7" t="s">
        <v>17</v>
      </c>
      <c r="G7" t="s">
        <v>18</v>
      </c>
      <c r="H7">
        <v>0</v>
      </c>
      <c r="I7">
        <v>1</v>
      </c>
      <c r="J7">
        <v>60</v>
      </c>
      <c r="K7">
        <v>0</v>
      </c>
      <c r="L7">
        <f t="shared" si="0"/>
        <v>1</v>
      </c>
      <c r="M7" t="s">
        <v>27</v>
      </c>
      <c r="N7" t="s">
        <v>19</v>
      </c>
      <c r="O7" t="s">
        <v>21</v>
      </c>
    </row>
    <row r="8" spans="1:15" x14ac:dyDescent="0.25">
      <c r="A8">
        <v>7</v>
      </c>
      <c r="B8">
        <v>1</v>
      </c>
      <c r="C8" s="7">
        <v>45076</v>
      </c>
      <c r="D8" s="9" t="s">
        <v>15</v>
      </c>
      <c r="E8" t="s">
        <v>16</v>
      </c>
      <c r="F8" t="s">
        <v>17</v>
      </c>
      <c r="G8" t="s">
        <v>18</v>
      </c>
      <c r="H8">
        <v>0</v>
      </c>
      <c r="I8">
        <v>1</v>
      </c>
      <c r="J8">
        <v>51</v>
      </c>
      <c r="K8">
        <v>0</v>
      </c>
      <c r="L8">
        <f t="shared" si="0"/>
        <v>1</v>
      </c>
      <c r="M8" t="s">
        <v>27</v>
      </c>
      <c r="N8" t="s">
        <v>19</v>
      </c>
    </row>
    <row r="9" spans="1:15" x14ac:dyDescent="0.25">
      <c r="A9">
        <v>8</v>
      </c>
      <c r="B9">
        <v>1</v>
      </c>
      <c r="C9" s="7">
        <v>45076</v>
      </c>
      <c r="D9" s="9" t="s">
        <v>15</v>
      </c>
      <c r="E9" t="s">
        <v>16</v>
      </c>
      <c r="F9" t="s">
        <v>17</v>
      </c>
      <c r="G9" t="s">
        <v>18</v>
      </c>
      <c r="H9">
        <v>0</v>
      </c>
      <c r="I9">
        <v>1</v>
      </c>
      <c r="J9">
        <v>44</v>
      </c>
      <c r="K9">
        <v>20</v>
      </c>
      <c r="L9">
        <f t="shared" si="0"/>
        <v>0.375</v>
      </c>
      <c r="M9" t="s">
        <v>27</v>
      </c>
      <c r="N9" t="s">
        <v>19</v>
      </c>
    </row>
    <row r="10" spans="1:15" x14ac:dyDescent="0.25">
      <c r="A10">
        <v>9</v>
      </c>
      <c r="B10">
        <v>1</v>
      </c>
      <c r="C10" s="7">
        <v>45076</v>
      </c>
      <c r="D10" s="9" t="s">
        <v>15</v>
      </c>
      <c r="E10" t="s">
        <v>16</v>
      </c>
      <c r="F10" t="s">
        <v>17</v>
      </c>
      <c r="G10" t="s">
        <v>18</v>
      </c>
      <c r="H10">
        <v>0</v>
      </c>
      <c r="I10">
        <v>1</v>
      </c>
      <c r="J10">
        <v>14</v>
      </c>
      <c r="K10">
        <v>65</v>
      </c>
      <c r="L10">
        <f t="shared" si="0"/>
        <v>-0.64556962025316456</v>
      </c>
      <c r="M10" t="s">
        <v>19</v>
      </c>
      <c r="N10" t="s">
        <v>19</v>
      </c>
    </row>
    <row r="11" spans="1:15" x14ac:dyDescent="0.25">
      <c r="A11">
        <v>10</v>
      </c>
      <c r="B11">
        <v>1</v>
      </c>
      <c r="C11" s="7">
        <v>45076</v>
      </c>
      <c r="D11" s="9" t="s">
        <v>15</v>
      </c>
      <c r="E11" t="s">
        <v>16</v>
      </c>
      <c r="F11" t="s">
        <v>17</v>
      </c>
      <c r="G11" t="s">
        <v>18</v>
      </c>
      <c r="H11">
        <v>0</v>
      </c>
      <c r="I11">
        <v>1</v>
      </c>
      <c r="J11">
        <v>2</v>
      </c>
      <c r="K11">
        <v>31</v>
      </c>
      <c r="L11">
        <f t="shared" si="0"/>
        <v>-0.87878787878787878</v>
      </c>
      <c r="M11" t="s">
        <v>19</v>
      </c>
      <c r="N11" t="s">
        <v>19</v>
      </c>
    </row>
    <row r="12" spans="1:15" x14ac:dyDescent="0.25">
      <c r="A12">
        <v>11</v>
      </c>
      <c r="B12">
        <v>1</v>
      </c>
      <c r="C12" s="7">
        <v>45076</v>
      </c>
      <c r="D12" s="9" t="s">
        <v>15</v>
      </c>
      <c r="E12" t="s">
        <v>16</v>
      </c>
      <c r="F12" t="s">
        <v>17</v>
      </c>
      <c r="G12" t="s">
        <v>20</v>
      </c>
      <c r="H12">
        <v>2E-3</v>
      </c>
      <c r="I12">
        <v>1</v>
      </c>
      <c r="J12">
        <v>56</v>
      </c>
      <c r="K12">
        <v>0</v>
      </c>
      <c r="L12">
        <f t="shared" si="0"/>
        <v>1</v>
      </c>
      <c r="M12" t="s">
        <v>27</v>
      </c>
      <c r="N12" t="s">
        <v>19</v>
      </c>
    </row>
    <row r="13" spans="1:15" x14ac:dyDescent="0.25">
      <c r="A13">
        <v>12</v>
      </c>
      <c r="B13">
        <v>1</v>
      </c>
      <c r="C13" s="7">
        <v>45076</v>
      </c>
      <c r="D13" s="9" t="s">
        <v>15</v>
      </c>
      <c r="E13" t="s">
        <v>16</v>
      </c>
      <c r="F13" t="s">
        <v>17</v>
      </c>
      <c r="G13" t="s">
        <v>20</v>
      </c>
      <c r="H13">
        <v>2E-3</v>
      </c>
      <c r="I13">
        <v>1</v>
      </c>
      <c r="J13">
        <v>19</v>
      </c>
      <c r="K13">
        <v>0</v>
      </c>
      <c r="L13">
        <f t="shared" si="0"/>
        <v>1</v>
      </c>
      <c r="M13" t="s">
        <v>27</v>
      </c>
      <c r="N13" t="s">
        <v>19</v>
      </c>
      <c r="O13" t="s">
        <v>22</v>
      </c>
    </row>
    <row r="14" spans="1:15" x14ac:dyDescent="0.25">
      <c r="A14">
        <v>13</v>
      </c>
      <c r="B14">
        <v>1</v>
      </c>
      <c r="C14" s="7">
        <v>45076</v>
      </c>
      <c r="D14" s="9" t="s">
        <v>15</v>
      </c>
      <c r="E14" t="s">
        <v>16</v>
      </c>
      <c r="F14" t="s">
        <v>17</v>
      </c>
      <c r="G14" t="s">
        <v>20</v>
      </c>
      <c r="H14">
        <v>2E-3</v>
      </c>
      <c r="I14">
        <v>1</v>
      </c>
      <c r="J14">
        <v>0</v>
      </c>
      <c r="K14">
        <v>88</v>
      </c>
      <c r="L14">
        <f t="shared" si="0"/>
        <v>-1</v>
      </c>
      <c r="M14" t="s">
        <v>28</v>
      </c>
      <c r="N14" t="s">
        <v>19</v>
      </c>
    </row>
    <row r="15" spans="1:15" x14ac:dyDescent="0.25">
      <c r="A15">
        <v>14</v>
      </c>
      <c r="B15">
        <v>1</v>
      </c>
      <c r="C15" s="7">
        <v>45076</v>
      </c>
      <c r="D15" s="9" t="s">
        <v>15</v>
      </c>
      <c r="E15" t="s">
        <v>16</v>
      </c>
      <c r="F15" t="s">
        <v>17</v>
      </c>
      <c r="G15" t="s">
        <v>20</v>
      </c>
      <c r="H15">
        <v>2E-3</v>
      </c>
      <c r="I15">
        <v>1</v>
      </c>
      <c r="J15">
        <v>72</v>
      </c>
      <c r="K15">
        <v>5</v>
      </c>
      <c r="L15">
        <f t="shared" si="0"/>
        <v>0.87012987012987009</v>
      </c>
      <c r="M15" t="s">
        <v>27</v>
      </c>
      <c r="N15" t="s">
        <v>19</v>
      </c>
      <c r="O15" t="s">
        <v>21</v>
      </c>
    </row>
    <row r="16" spans="1:15" x14ac:dyDescent="0.25">
      <c r="A16">
        <v>15</v>
      </c>
      <c r="B16">
        <v>1</v>
      </c>
      <c r="C16" s="7">
        <v>45076</v>
      </c>
      <c r="D16" s="9" t="s">
        <v>15</v>
      </c>
      <c r="E16" t="s">
        <v>16</v>
      </c>
      <c r="F16" t="s">
        <v>17</v>
      </c>
      <c r="G16" t="s">
        <v>20</v>
      </c>
      <c r="H16">
        <v>2E-3</v>
      </c>
      <c r="I16">
        <v>0</v>
      </c>
      <c r="J16" t="s">
        <v>19</v>
      </c>
      <c r="K16" t="s">
        <v>19</v>
      </c>
      <c r="L16" t="s">
        <v>19</v>
      </c>
      <c r="M16" t="s">
        <v>19</v>
      </c>
      <c r="N16">
        <v>1</v>
      </c>
    </row>
    <row r="17" spans="1:15" x14ac:dyDescent="0.25">
      <c r="A17">
        <v>16</v>
      </c>
      <c r="B17">
        <v>1</v>
      </c>
      <c r="C17" s="7">
        <v>45076</v>
      </c>
      <c r="D17" s="9" t="s">
        <v>15</v>
      </c>
      <c r="E17" t="s">
        <v>16</v>
      </c>
      <c r="F17" t="s">
        <v>17</v>
      </c>
      <c r="G17" t="s">
        <v>20</v>
      </c>
      <c r="H17">
        <v>2E-3</v>
      </c>
      <c r="I17">
        <v>1</v>
      </c>
      <c r="J17">
        <v>25</v>
      </c>
      <c r="K17">
        <v>4</v>
      </c>
      <c r="L17">
        <f t="shared" si="0"/>
        <v>0.72413793103448276</v>
      </c>
      <c r="M17" t="s">
        <v>27</v>
      </c>
      <c r="N17" t="s">
        <v>19</v>
      </c>
    </row>
    <row r="18" spans="1:15" x14ac:dyDescent="0.25">
      <c r="A18">
        <v>17</v>
      </c>
      <c r="B18">
        <v>1</v>
      </c>
      <c r="C18" s="7">
        <v>45076</v>
      </c>
      <c r="D18" s="9" t="s">
        <v>15</v>
      </c>
      <c r="E18" t="s">
        <v>16</v>
      </c>
      <c r="F18" t="s">
        <v>17</v>
      </c>
      <c r="G18" t="s">
        <v>20</v>
      </c>
      <c r="H18">
        <v>2E-3</v>
      </c>
      <c r="I18">
        <v>1</v>
      </c>
      <c r="J18">
        <v>0</v>
      </c>
      <c r="K18">
        <v>78</v>
      </c>
      <c r="L18">
        <f t="shared" si="0"/>
        <v>-1</v>
      </c>
      <c r="M18" t="s">
        <v>28</v>
      </c>
      <c r="N18" t="s">
        <v>19</v>
      </c>
    </row>
    <row r="19" spans="1:15" x14ac:dyDescent="0.25">
      <c r="A19">
        <v>18</v>
      </c>
      <c r="B19">
        <v>1</v>
      </c>
      <c r="C19" s="7">
        <v>45076</v>
      </c>
      <c r="D19" s="9" t="s">
        <v>15</v>
      </c>
      <c r="E19" t="s">
        <v>16</v>
      </c>
      <c r="F19" t="s">
        <v>17</v>
      </c>
      <c r="G19" t="s">
        <v>20</v>
      </c>
      <c r="H19">
        <v>2E-3</v>
      </c>
      <c r="I19">
        <v>0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 t="s">
        <v>21</v>
      </c>
    </row>
    <row r="20" spans="1:15" x14ac:dyDescent="0.25">
      <c r="A20">
        <v>19</v>
      </c>
      <c r="B20">
        <v>1</v>
      </c>
      <c r="C20" s="7">
        <v>45076</v>
      </c>
      <c r="D20" s="9" t="s">
        <v>15</v>
      </c>
      <c r="E20" t="s">
        <v>16</v>
      </c>
      <c r="F20" t="s">
        <v>17</v>
      </c>
      <c r="G20" t="s">
        <v>20</v>
      </c>
      <c r="H20">
        <v>2E-3</v>
      </c>
      <c r="I20">
        <v>1</v>
      </c>
      <c r="J20">
        <v>21</v>
      </c>
      <c r="K20">
        <v>7</v>
      </c>
      <c r="L20">
        <f t="shared" si="0"/>
        <v>0.5</v>
      </c>
      <c r="M20" t="s">
        <v>27</v>
      </c>
      <c r="N20" t="s">
        <v>19</v>
      </c>
    </row>
    <row r="21" spans="1:15" x14ac:dyDescent="0.25">
      <c r="A21">
        <v>20</v>
      </c>
      <c r="B21">
        <v>1</v>
      </c>
      <c r="C21" s="7">
        <v>45076</v>
      </c>
      <c r="D21" s="9" t="s">
        <v>15</v>
      </c>
      <c r="E21" t="s">
        <v>16</v>
      </c>
      <c r="F21" t="s">
        <v>17</v>
      </c>
      <c r="G21" t="s">
        <v>20</v>
      </c>
      <c r="H21">
        <v>2E-3</v>
      </c>
      <c r="I21">
        <v>1</v>
      </c>
      <c r="J21">
        <v>56</v>
      </c>
      <c r="K21">
        <v>0</v>
      </c>
      <c r="L21">
        <f t="shared" si="0"/>
        <v>1</v>
      </c>
      <c r="M21" t="s">
        <v>27</v>
      </c>
      <c r="N21" t="s">
        <v>19</v>
      </c>
    </row>
    <row r="22" spans="1:15" x14ac:dyDescent="0.25">
      <c r="A22">
        <v>21</v>
      </c>
      <c r="B22">
        <v>1</v>
      </c>
      <c r="C22" s="7">
        <v>45076</v>
      </c>
      <c r="D22" s="9" t="s">
        <v>15</v>
      </c>
      <c r="E22" t="s">
        <v>16</v>
      </c>
      <c r="F22" t="s">
        <v>17</v>
      </c>
      <c r="G22" t="s">
        <v>23</v>
      </c>
      <c r="H22">
        <v>0.02</v>
      </c>
      <c r="I22">
        <v>1</v>
      </c>
      <c r="J22">
        <v>24</v>
      </c>
      <c r="K22">
        <v>0</v>
      </c>
      <c r="L22">
        <f t="shared" si="0"/>
        <v>1</v>
      </c>
      <c r="M22" t="s">
        <v>27</v>
      </c>
      <c r="N22" t="s">
        <v>19</v>
      </c>
      <c r="O22" t="s">
        <v>21</v>
      </c>
    </row>
    <row r="23" spans="1:15" x14ac:dyDescent="0.25">
      <c r="A23">
        <v>22</v>
      </c>
      <c r="B23">
        <v>1</v>
      </c>
      <c r="C23" s="7">
        <v>45076</v>
      </c>
      <c r="D23" s="9" t="s">
        <v>15</v>
      </c>
      <c r="E23" t="s">
        <v>16</v>
      </c>
      <c r="F23" t="s">
        <v>17</v>
      </c>
      <c r="G23" t="s">
        <v>23</v>
      </c>
      <c r="H23">
        <v>0.02</v>
      </c>
      <c r="I23">
        <v>1</v>
      </c>
      <c r="J23">
        <v>0</v>
      </c>
      <c r="K23">
        <v>58</v>
      </c>
      <c r="L23">
        <f t="shared" si="0"/>
        <v>-1</v>
      </c>
      <c r="M23" t="s">
        <v>28</v>
      </c>
      <c r="N23" t="s">
        <v>19</v>
      </c>
      <c r="O23" t="s">
        <v>21</v>
      </c>
    </row>
    <row r="24" spans="1:15" x14ac:dyDescent="0.25">
      <c r="A24">
        <v>23</v>
      </c>
      <c r="B24">
        <v>1</v>
      </c>
      <c r="C24" s="7">
        <v>45076</v>
      </c>
      <c r="D24" s="9" t="s">
        <v>15</v>
      </c>
      <c r="E24" t="s">
        <v>16</v>
      </c>
      <c r="F24" t="s">
        <v>17</v>
      </c>
      <c r="G24" t="s">
        <v>23</v>
      </c>
      <c r="H24">
        <v>0.02</v>
      </c>
      <c r="I24">
        <v>1</v>
      </c>
      <c r="J24">
        <v>8</v>
      </c>
      <c r="K24">
        <v>42</v>
      </c>
      <c r="L24">
        <f t="shared" si="0"/>
        <v>-0.68</v>
      </c>
      <c r="M24" t="s">
        <v>28</v>
      </c>
      <c r="N24" t="s">
        <v>19</v>
      </c>
    </row>
    <row r="25" spans="1:15" x14ac:dyDescent="0.25">
      <c r="A25">
        <v>24</v>
      </c>
      <c r="B25">
        <v>1</v>
      </c>
      <c r="C25" s="7">
        <v>45076</v>
      </c>
      <c r="D25" s="9" t="s">
        <v>15</v>
      </c>
      <c r="E25" t="s">
        <v>16</v>
      </c>
      <c r="F25" t="s">
        <v>17</v>
      </c>
      <c r="G25" t="s">
        <v>23</v>
      </c>
      <c r="H25">
        <v>0.02</v>
      </c>
      <c r="I25">
        <v>1</v>
      </c>
      <c r="J25">
        <v>47</v>
      </c>
      <c r="K25">
        <v>0</v>
      </c>
      <c r="L25">
        <f t="shared" si="0"/>
        <v>1</v>
      </c>
      <c r="M25" t="s">
        <v>27</v>
      </c>
      <c r="N25" t="s">
        <v>19</v>
      </c>
    </row>
    <row r="26" spans="1:15" x14ac:dyDescent="0.25">
      <c r="A26">
        <v>25</v>
      </c>
      <c r="B26">
        <v>1</v>
      </c>
      <c r="C26" s="7">
        <v>45076</v>
      </c>
      <c r="D26" s="9" t="s">
        <v>15</v>
      </c>
      <c r="E26" t="s">
        <v>16</v>
      </c>
      <c r="F26" t="s">
        <v>17</v>
      </c>
      <c r="G26" t="s">
        <v>23</v>
      </c>
      <c r="H26">
        <v>0.02</v>
      </c>
      <c r="I26">
        <v>1</v>
      </c>
      <c r="J26">
        <v>5</v>
      </c>
      <c r="K26">
        <v>28</v>
      </c>
      <c r="L26">
        <f t="shared" si="0"/>
        <v>-0.69696969696969702</v>
      </c>
      <c r="M26" t="s">
        <v>28</v>
      </c>
      <c r="N26" t="s">
        <v>19</v>
      </c>
      <c r="O26" t="s">
        <v>21</v>
      </c>
    </row>
    <row r="27" spans="1:15" x14ac:dyDescent="0.25">
      <c r="A27">
        <v>26</v>
      </c>
      <c r="B27">
        <v>1</v>
      </c>
      <c r="C27" s="7">
        <v>45076</v>
      </c>
      <c r="D27" s="9" t="s">
        <v>15</v>
      </c>
      <c r="E27" t="s">
        <v>16</v>
      </c>
      <c r="F27" t="s">
        <v>17</v>
      </c>
      <c r="G27" t="s">
        <v>23</v>
      </c>
      <c r="H27">
        <v>0.02</v>
      </c>
      <c r="I27">
        <v>1</v>
      </c>
      <c r="J27">
        <v>50</v>
      </c>
      <c r="K27">
        <v>0</v>
      </c>
      <c r="L27">
        <f t="shared" si="0"/>
        <v>1</v>
      </c>
      <c r="M27" t="s">
        <v>27</v>
      </c>
      <c r="N27" t="s">
        <v>19</v>
      </c>
    </row>
    <row r="28" spans="1:15" x14ac:dyDescent="0.25">
      <c r="A28">
        <v>27</v>
      </c>
      <c r="B28">
        <v>1</v>
      </c>
      <c r="C28" s="7">
        <v>45076</v>
      </c>
      <c r="D28" s="9" t="s">
        <v>15</v>
      </c>
      <c r="E28" t="s">
        <v>16</v>
      </c>
      <c r="F28" t="s">
        <v>17</v>
      </c>
      <c r="G28" t="s">
        <v>23</v>
      </c>
      <c r="H28">
        <v>0.02</v>
      </c>
      <c r="I28">
        <v>1</v>
      </c>
      <c r="J28">
        <v>0</v>
      </c>
      <c r="K28">
        <v>53</v>
      </c>
      <c r="L28">
        <f t="shared" si="0"/>
        <v>-1</v>
      </c>
      <c r="M28" t="s">
        <v>28</v>
      </c>
      <c r="N28" t="s">
        <v>19</v>
      </c>
    </row>
    <row r="29" spans="1:15" x14ac:dyDescent="0.25">
      <c r="A29">
        <v>28</v>
      </c>
      <c r="B29">
        <v>1</v>
      </c>
      <c r="C29" s="7">
        <v>45076</v>
      </c>
      <c r="D29" s="9" t="s">
        <v>15</v>
      </c>
      <c r="E29" t="s">
        <v>16</v>
      </c>
      <c r="F29" t="s">
        <v>17</v>
      </c>
      <c r="G29" t="s">
        <v>23</v>
      </c>
      <c r="H29">
        <v>0.02</v>
      </c>
      <c r="I29">
        <v>1</v>
      </c>
      <c r="J29">
        <v>37</v>
      </c>
      <c r="K29">
        <v>26</v>
      </c>
      <c r="L29">
        <f t="shared" si="0"/>
        <v>0.17460317460317459</v>
      </c>
      <c r="M29" t="s">
        <v>27</v>
      </c>
      <c r="N29" t="s">
        <v>19</v>
      </c>
    </row>
    <row r="30" spans="1:15" x14ac:dyDescent="0.25">
      <c r="A30">
        <v>29</v>
      </c>
      <c r="B30">
        <v>1</v>
      </c>
      <c r="C30" s="7">
        <v>45076</v>
      </c>
      <c r="D30" s="9" t="s">
        <v>15</v>
      </c>
      <c r="E30" t="s">
        <v>16</v>
      </c>
      <c r="F30" t="s">
        <v>17</v>
      </c>
      <c r="G30" t="s">
        <v>23</v>
      </c>
      <c r="H30">
        <v>0.02</v>
      </c>
      <c r="I30">
        <v>1</v>
      </c>
      <c r="J30">
        <v>49</v>
      </c>
      <c r="K30">
        <v>28</v>
      </c>
      <c r="L30">
        <f t="shared" si="0"/>
        <v>0.27272727272727271</v>
      </c>
      <c r="M30" t="s">
        <v>27</v>
      </c>
      <c r="N30" t="s">
        <v>19</v>
      </c>
    </row>
    <row r="31" spans="1:15" x14ac:dyDescent="0.25">
      <c r="A31">
        <v>30</v>
      </c>
      <c r="B31">
        <v>1</v>
      </c>
      <c r="C31" s="7">
        <v>45076</v>
      </c>
      <c r="D31" s="9" t="s">
        <v>15</v>
      </c>
      <c r="E31" t="s">
        <v>16</v>
      </c>
      <c r="F31" t="s">
        <v>17</v>
      </c>
      <c r="G31" t="s">
        <v>23</v>
      </c>
      <c r="H31">
        <v>0.02</v>
      </c>
      <c r="I31">
        <v>1</v>
      </c>
      <c r="J31">
        <v>17</v>
      </c>
      <c r="K31">
        <v>55</v>
      </c>
      <c r="L31">
        <f t="shared" si="0"/>
        <v>-0.52777777777777779</v>
      </c>
      <c r="M31" t="s">
        <v>28</v>
      </c>
      <c r="N31" t="s">
        <v>19</v>
      </c>
    </row>
    <row r="32" spans="1:15" x14ac:dyDescent="0.25">
      <c r="A32">
        <v>31</v>
      </c>
      <c r="B32">
        <v>1</v>
      </c>
      <c r="C32" s="7">
        <v>45076</v>
      </c>
      <c r="D32" s="9" t="s">
        <v>15</v>
      </c>
      <c r="E32" t="s">
        <v>16</v>
      </c>
      <c r="F32" t="s">
        <v>17</v>
      </c>
      <c r="G32" t="s">
        <v>24</v>
      </c>
      <c r="H32">
        <v>0.2</v>
      </c>
      <c r="I32">
        <v>1</v>
      </c>
      <c r="J32">
        <v>22</v>
      </c>
      <c r="K32">
        <v>0</v>
      </c>
      <c r="L32">
        <f t="shared" si="0"/>
        <v>1</v>
      </c>
      <c r="M32" t="s">
        <v>27</v>
      </c>
      <c r="N32" t="s">
        <v>19</v>
      </c>
    </row>
    <row r="33" spans="1:15" x14ac:dyDescent="0.25">
      <c r="A33">
        <v>32</v>
      </c>
      <c r="B33">
        <v>1</v>
      </c>
      <c r="C33" s="7">
        <v>45076</v>
      </c>
      <c r="D33" s="9" t="s">
        <v>15</v>
      </c>
      <c r="E33" t="s">
        <v>16</v>
      </c>
      <c r="F33" t="s">
        <v>17</v>
      </c>
      <c r="G33" t="s">
        <v>24</v>
      </c>
      <c r="H33">
        <v>0.2</v>
      </c>
      <c r="I33">
        <v>1</v>
      </c>
      <c r="J33">
        <v>0</v>
      </c>
      <c r="K33">
        <v>88</v>
      </c>
      <c r="L33">
        <f t="shared" si="0"/>
        <v>-1</v>
      </c>
      <c r="M33" t="s">
        <v>28</v>
      </c>
      <c r="N33" t="s">
        <v>19</v>
      </c>
    </row>
    <row r="34" spans="1:15" x14ac:dyDescent="0.25">
      <c r="A34">
        <v>33</v>
      </c>
      <c r="B34">
        <v>1</v>
      </c>
      <c r="C34" s="7">
        <v>45076</v>
      </c>
      <c r="D34" s="9" t="s">
        <v>15</v>
      </c>
      <c r="E34" t="s">
        <v>16</v>
      </c>
      <c r="F34" t="s">
        <v>17</v>
      </c>
      <c r="G34" t="s">
        <v>24</v>
      </c>
      <c r="H34">
        <v>0.2</v>
      </c>
      <c r="I34">
        <v>1</v>
      </c>
      <c r="J34">
        <v>0</v>
      </c>
      <c r="K34">
        <v>53</v>
      </c>
      <c r="L34">
        <f t="shared" si="0"/>
        <v>-1</v>
      </c>
      <c r="M34" t="s">
        <v>28</v>
      </c>
      <c r="N34" t="s">
        <v>19</v>
      </c>
    </row>
    <row r="35" spans="1:15" x14ac:dyDescent="0.25">
      <c r="A35">
        <v>34</v>
      </c>
      <c r="B35">
        <v>1</v>
      </c>
      <c r="C35" s="7">
        <v>45076</v>
      </c>
      <c r="D35" s="9" t="s">
        <v>15</v>
      </c>
      <c r="E35" t="s">
        <v>16</v>
      </c>
      <c r="F35" t="s">
        <v>17</v>
      </c>
      <c r="G35" t="s">
        <v>24</v>
      </c>
      <c r="H35">
        <v>0.2</v>
      </c>
      <c r="I35">
        <v>1</v>
      </c>
      <c r="J35">
        <v>35</v>
      </c>
      <c r="K35">
        <v>0</v>
      </c>
      <c r="L35">
        <f t="shared" si="0"/>
        <v>1</v>
      </c>
      <c r="M35" t="s">
        <v>27</v>
      </c>
      <c r="N35" t="s">
        <v>19</v>
      </c>
      <c r="O35" t="s">
        <v>21</v>
      </c>
    </row>
    <row r="36" spans="1:15" x14ac:dyDescent="0.25">
      <c r="A36">
        <v>35</v>
      </c>
      <c r="B36">
        <v>1</v>
      </c>
      <c r="C36" s="7">
        <v>45076</v>
      </c>
      <c r="D36" s="9" t="s">
        <v>15</v>
      </c>
      <c r="E36" t="s">
        <v>16</v>
      </c>
      <c r="F36" t="s">
        <v>17</v>
      </c>
      <c r="G36" t="s">
        <v>24</v>
      </c>
      <c r="H36">
        <v>0.2</v>
      </c>
      <c r="I36">
        <v>0</v>
      </c>
      <c r="J36" t="s">
        <v>19</v>
      </c>
      <c r="K36" t="s">
        <v>19</v>
      </c>
      <c r="L36" t="s">
        <v>19</v>
      </c>
      <c r="M36" t="s">
        <v>19</v>
      </c>
      <c r="N36" t="s">
        <v>19</v>
      </c>
      <c r="O36" t="s">
        <v>22</v>
      </c>
    </row>
    <row r="37" spans="1:15" x14ac:dyDescent="0.25">
      <c r="A37">
        <v>36</v>
      </c>
      <c r="B37">
        <v>1</v>
      </c>
      <c r="C37" s="7">
        <v>45076</v>
      </c>
      <c r="D37" s="9" t="s">
        <v>15</v>
      </c>
      <c r="E37" t="s">
        <v>16</v>
      </c>
      <c r="F37" t="s">
        <v>17</v>
      </c>
      <c r="G37" t="s">
        <v>24</v>
      </c>
      <c r="H37">
        <v>0.2</v>
      </c>
      <c r="I37">
        <v>1</v>
      </c>
      <c r="J37">
        <v>0</v>
      </c>
      <c r="K37">
        <v>37</v>
      </c>
      <c r="L37">
        <f t="shared" si="0"/>
        <v>-1</v>
      </c>
      <c r="M37" t="s">
        <v>28</v>
      </c>
      <c r="N37" t="s">
        <v>19</v>
      </c>
      <c r="O37" t="s">
        <v>21</v>
      </c>
    </row>
    <row r="38" spans="1:15" x14ac:dyDescent="0.25">
      <c r="A38">
        <v>37</v>
      </c>
      <c r="B38">
        <v>1</v>
      </c>
      <c r="C38" s="7">
        <v>45076</v>
      </c>
      <c r="D38" s="9" t="s">
        <v>15</v>
      </c>
      <c r="E38" t="s">
        <v>16</v>
      </c>
      <c r="F38" t="s">
        <v>17</v>
      </c>
      <c r="G38" t="s">
        <v>24</v>
      </c>
      <c r="H38">
        <v>0.2</v>
      </c>
      <c r="I38">
        <v>0</v>
      </c>
      <c r="J38" t="s">
        <v>19</v>
      </c>
      <c r="K38" t="s">
        <v>19</v>
      </c>
      <c r="L38" t="s">
        <v>19</v>
      </c>
      <c r="M38" t="s">
        <v>19</v>
      </c>
      <c r="N38" t="s">
        <v>19</v>
      </c>
      <c r="O38" t="s">
        <v>21</v>
      </c>
    </row>
    <row r="39" spans="1:15" x14ac:dyDescent="0.25">
      <c r="A39">
        <v>38</v>
      </c>
      <c r="B39">
        <v>1</v>
      </c>
      <c r="C39" s="7">
        <v>45076</v>
      </c>
      <c r="D39" s="9" t="s">
        <v>15</v>
      </c>
      <c r="E39" t="s">
        <v>16</v>
      </c>
      <c r="F39" t="s">
        <v>17</v>
      </c>
      <c r="G39" t="s">
        <v>24</v>
      </c>
      <c r="H39">
        <v>0.2</v>
      </c>
      <c r="I39">
        <v>1</v>
      </c>
      <c r="J39">
        <v>45</v>
      </c>
      <c r="K39">
        <v>13</v>
      </c>
      <c r="L39">
        <f t="shared" si="0"/>
        <v>0.55172413793103448</v>
      </c>
      <c r="M39" t="s">
        <v>27</v>
      </c>
      <c r="N39" t="s">
        <v>19</v>
      </c>
    </row>
    <row r="40" spans="1:15" x14ac:dyDescent="0.25">
      <c r="A40">
        <v>39</v>
      </c>
      <c r="B40">
        <v>1</v>
      </c>
      <c r="C40" s="7">
        <v>45076</v>
      </c>
      <c r="D40" s="9" t="s">
        <v>15</v>
      </c>
      <c r="E40" t="s">
        <v>16</v>
      </c>
      <c r="F40" t="s">
        <v>17</v>
      </c>
      <c r="G40" t="s">
        <v>24</v>
      </c>
      <c r="H40">
        <v>0.2</v>
      </c>
      <c r="I40">
        <v>0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  <c r="O40" t="s">
        <v>21</v>
      </c>
    </row>
    <row r="41" spans="1:15" x14ac:dyDescent="0.25">
      <c r="A41">
        <v>40</v>
      </c>
      <c r="B41">
        <v>1</v>
      </c>
      <c r="C41" s="7">
        <v>45076</v>
      </c>
      <c r="D41" s="9" t="s">
        <v>15</v>
      </c>
      <c r="E41" t="s">
        <v>16</v>
      </c>
      <c r="F41" t="s">
        <v>17</v>
      </c>
      <c r="G41" t="s">
        <v>24</v>
      </c>
      <c r="H41">
        <v>0.2</v>
      </c>
      <c r="I41">
        <v>1</v>
      </c>
      <c r="J41">
        <v>49</v>
      </c>
      <c r="K41">
        <v>0</v>
      </c>
      <c r="L41">
        <f t="shared" si="0"/>
        <v>1</v>
      </c>
      <c r="M41" t="s">
        <v>27</v>
      </c>
      <c r="N41" t="s">
        <v>19</v>
      </c>
      <c r="O41" t="s">
        <v>21</v>
      </c>
    </row>
    <row r="42" spans="1:15" x14ac:dyDescent="0.25">
      <c r="A42">
        <v>41</v>
      </c>
      <c r="B42">
        <v>2</v>
      </c>
      <c r="C42" s="7">
        <v>45098</v>
      </c>
      <c r="D42" s="9" t="s">
        <v>25</v>
      </c>
      <c r="E42" t="s">
        <v>16</v>
      </c>
      <c r="F42" t="s">
        <v>17</v>
      </c>
      <c r="G42" t="s">
        <v>18</v>
      </c>
      <c r="H42">
        <v>0</v>
      </c>
      <c r="I42">
        <v>0</v>
      </c>
      <c r="J42" t="s">
        <v>19</v>
      </c>
      <c r="K42" t="s">
        <v>19</v>
      </c>
      <c r="L42" t="s">
        <v>19</v>
      </c>
      <c r="M42" t="s">
        <v>19</v>
      </c>
      <c r="N42" t="s">
        <v>19</v>
      </c>
      <c r="O42" t="s">
        <v>21</v>
      </c>
    </row>
    <row r="43" spans="1:15" x14ac:dyDescent="0.25">
      <c r="A43">
        <v>42</v>
      </c>
      <c r="B43">
        <v>2</v>
      </c>
      <c r="C43" s="7">
        <v>45098</v>
      </c>
      <c r="D43" s="9" t="s">
        <v>25</v>
      </c>
      <c r="E43" t="s">
        <v>16</v>
      </c>
      <c r="F43" t="s">
        <v>17</v>
      </c>
      <c r="G43" t="s">
        <v>18</v>
      </c>
      <c r="H43">
        <v>0</v>
      </c>
      <c r="I43">
        <v>1</v>
      </c>
      <c r="J43">
        <v>37</v>
      </c>
      <c r="K43">
        <v>0</v>
      </c>
      <c r="L43">
        <f t="shared" si="0"/>
        <v>1</v>
      </c>
      <c r="M43" t="s">
        <v>27</v>
      </c>
      <c r="N43" t="s">
        <v>19</v>
      </c>
    </row>
    <row r="44" spans="1:15" x14ac:dyDescent="0.25">
      <c r="A44">
        <v>43</v>
      </c>
      <c r="B44">
        <v>2</v>
      </c>
      <c r="C44" s="7">
        <v>45098</v>
      </c>
      <c r="D44" s="9" t="s">
        <v>25</v>
      </c>
      <c r="E44" t="s">
        <v>16</v>
      </c>
      <c r="F44" t="s">
        <v>17</v>
      </c>
      <c r="G44" t="s">
        <v>18</v>
      </c>
      <c r="H44">
        <v>0</v>
      </c>
      <c r="I44">
        <v>1</v>
      </c>
      <c r="J44">
        <v>87</v>
      </c>
      <c r="K44">
        <v>0</v>
      </c>
      <c r="L44">
        <f t="shared" si="0"/>
        <v>1</v>
      </c>
      <c r="M44" t="s">
        <v>27</v>
      </c>
      <c r="N44" t="s">
        <v>19</v>
      </c>
    </row>
    <row r="45" spans="1:15" x14ac:dyDescent="0.25">
      <c r="A45">
        <v>44</v>
      </c>
      <c r="B45">
        <v>2</v>
      </c>
      <c r="C45" s="7">
        <v>45098</v>
      </c>
      <c r="D45" s="9" t="s">
        <v>25</v>
      </c>
      <c r="E45" t="s">
        <v>16</v>
      </c>
      <c r="F45" t="s">
        <v>17</v>
      </c>
      <c r="G45" t="s">
        <v>18</v>
      </c>
      <c r="H45">
        <v>0</v>
      </c>
      <c r="I45">
        <v>1</v>
      </c>
      <c r="J45">
        <v>5</v>
      </c>
      <c r="K45">
        <v>3</v>
      </c>
      <c r="L45">
        <f t="shared" si="0"/>
        <v>0.25</v>
      </c>
      <c r="M45" t="s">
        <v>19</v>
      </c>
      <c r="N45" t="s">
        <v>19</v>
      </c>
    </row>
    <row r="46" spans="1:15" x14ac:dyDescent="0.25">
      <c r="A46">
        <v>45</v>
      </c>
      <c r="B46">
        <v>2</v>
      </c>
      <c r="C46" s="7">
        <v>45098</v>
      </c>
      <c r="D46" s="9" t="s">
        <v>25</v>
      </c>
      <c r="E46" t="s">
        <v>16</v>
      </c>
      <c r="F46" t="s">
        <v>17</v>
      </c>
      <c r="G46" t="s">
        <v>18</v>
      </c>
      <c r="H46">
        <v>0</v>
      </c>
      <c r="I46">
        <v>1</v>
      </c>
      <c r="J46">
        <v>12</v>
      </c>
      <c r="K46">
        <v>21</v>
      </c>
      <c r="L46">
        <f t="shared" si="0"/>
        <v>-0.27272727272727271</v>
      </c>
      <c r="M46" t="s">
        <v>19</v>
      </c>
      <c r="N46" t="s">
        <v>19</v>
      </c>
    </row>
    <row r="47" spans="1:15" x14ac:dyDescent="0.25">
      <c r="A47">
        <v>46</v>
      </c>
      <c r="B47">
        <v>2</v>
      </c>
      <c r="C47" s="7">
        <v>45098</v>
      </c>
      <c r="D47" s="9" t="s">
        <v>25</v>
      </c>
      <c r="E47" t="s">
        <v>16</v>
      </c>
      <c r="F47" t="s">
        <v>17</v>
      </c>
      <c r="G47" t="s">
        <v>18</v>
      </c>
      <c r="H47">
        <v>0</v>
      </c>
      <c r="I47">
        <v>1</v>
      </c>
      <c r="J47">
        <v>4</v>
      </c>
      <c r="K47">
        <v>0</v>
      </c>
      <c r="L47">
        <f t="shared" si="0"/>
        <v>1</v>
      </c>
      <c r="M47" t="s">
        <v>27</v>
      </c>
      <c r="N47" t="s">
        <v>19</v>
      </c>
    </row>
    <row r="48" spans="1:15" x14ac:dyDescent="0.25">
      <c r="A48">
        <v>47</v>
      </c>
      <c r="B48">
        <v>2</v>
      </c>
      <c r="C48" s="7">
        <v>45098</v>
      </c>
      <c r="D48" s="9" t="s">
        <v>25</v>
      </c>
      <c r="E48" t="s">
        <v>16</v>
      </c>
      <c r="F48" t="s">
        <v>17</v>
      </c>
      <c r="G48" t="s">
        <v>18</v>
      </c>
      <c r="H48">
        <v>0</v>
      </c>
      <c r="I48">
        <v>0</v>
      </c>
      <c r="J48" t="s">
        <v>19</v>
      </c>
      <c r="K48" t="s">
        <v>19</v>
      </c>
      <c r="L48" t="s">
        <v>19</v>
      </c>
      <c r="M48" t="s">
        <v>19</v>
      </c>
      <c r="N48">
        <v>1</v>
      </c>
    </row>
    <row r="49" spans="1:15" x14ac:dyDescent="0.25">
      <c r="A49">
        <v>48</v>
      </c>
      <c r="B49">
        <v>2</v>
      </c>
      <c r="C49" s="7">
        <v>45098</v>
      </c>
      <c r="D49" s="9" t="s">
        <v>25</v>
      </c>
      <c r="E49" t="s">
        <v>16</v>
      </c>
      <c r="F49" t="s">
        <v>17</v>
      </c>
      <c r="G49" t="s">
        <v>18</v>
      </c>
      <c r="H49">
        <v>0</v>
      </c>
      <c r="I49">
        <v>0</v>
      </c>
      <c r="J49" t="s">
        <v>19</v>
      </c>
      <c r="K49" t="s">
        <v>19</v>
      </c>
      <c r="L49" t="s">
        <v>19</v>
      </c>
      <c r="M49" t="s">
        <v>19</v>
      </c>
      <c r="N49">
        <v>1</v>
      </c>
    </row>
    <row r="50" spans="1:15" x14ac:dyDescent="0.25">
      <c r="A50">
        <v>49</v>
      </c>
      <c r="B50">
        <v>2</v>
      </c>
      <c r="C50" s="7">
        <v>45098</v>
      </c>
      <c r="D50" s="9" t="s">
        <v>25</v>
      </c>
      <c r="E50" t="s">
        <v>16</v>
      </c>
      <c r="F50" t="s">
        <v>17</v>
      </c>
      <c r="G50" t="s">
        <v>18</v>
      </c>
      <c r="H50">
        <v>0</v>
      </c>
      <c r="I50">
        <v>1</v>
      </c>
      <c r="J50">
        <v>59</v>
      </c>
      <c r="K50">
        <v>0</v>
      </c>
      <c r="L50">
        <f t="shared" si="0"/>
        <v>1</v>
      </c>
      <c r="M50" t="s">
        <v>27</v>
      </c>
      <c r="N50" t="s">
        <v>19</v>
      </c>
    </row>
    <row r="51" spans="1:15" x14ac:dyDescent="0.25">
      <c r="A51">
        <v>50</v>
      </c>
      <c r="B51">
        <v>2</v>
      </c>
      <c r="C51" s="7">
        <v>45098</v>
      </c>
      <c r="D51" s="9" t="s">
        <v>25</v>
      </c>
      <c r="E51" t="s">
        <v>16</v>
      </c>
      <c r="F51" t="s">
        <v>17</v>
      </c>
      <c r="G51" t="s">
        <v>18</v>
      </c>
      <c r="H51">
        <v>0</v>
      </c>
      <c r="I51">
        <v>0</v>
      </c>
      <c r="J51" t="s">
        <v>19</v>
      </c>
      <c r="K51" t="s">
        <v>19</v>
      </c>
      <c r="L51" t="s">
        <v>19</v>
      </c>
      <c r="M51" t="s">
        <v>19</v>
      </c>
      <c r="N51">
        <v>1</v>
      </c>
    </row>
    <row r="52" spans="1:15" x14ac:dyDescent="0.25">
      <c r="A52">
        <v>51</v>
      </c>
      <c r="B52">
        <v>2</v>
      </c>
      <c r="C52" s="7">
        <v>45098</v>
      </c>
      <c r="D52" s="9" t="s">
        <v>25</v>
      </c>
      <c r="E52" t="s">
        <v>16</v>
      </c>
      <c r="F52" t="s">
        <v>17</v>
      </c>
      <c r="G52" t="s">
        <v>23</v>
      </c>
      <c r="H52">
        <v>0.02</v>
      </c>
      <c r="I52">
        <v>0</v>
      </c>
      <c r="J52" t="s">
        <v>19</v>
      </c>
      <c r="K52" t="s">
        <v>19</v>
      </c>
      <c r="L52" t="s">
        <v>19</v>
      </c>
      <c r="M52" t="s">
        <v>19</v>
      </c>
      <c r="N52">
        <v>1</v>
      </c>
    </row>
    <row r="53" spans="1:15" x14ac:dyDescent="0.25">
      <c r="A53">
        <v>52</v>
      </c>
      <c r="B53">
        <v>2</v>
      </c>
      <c r="C53" s="7">
        <v>45098</v>
      </c>
      <c r="D53" s="9" t="s">
        <v>25</v>
      </c>
      <c r="E53" t="s">
        <v>16</v>
      </c>
      <c r="F53" t="s">
        <v>17</v>
      </c>
      <c r="G53" t="s">
        <v>23</v>
      </c>
      <c r="H53">
        <v>0.02</v>
      </c>
      <c r="I53">
        <v>1</v>
      </c>
      <c r="J53">
        <v>46</v>
      </c>
      <c r="K53">
        <v>0</v>
      </c>
      <c r="L53">
        <f t="shared" si="0"/>
        <v>1</v>
      </c>
      <c r="M53" t="s">
        <v>27</v>
      </c>
      <c r="N53" t="s">
        <v>19</v>
      </c>
    </row>
    <row r="54" spans="1:15" x14ac:dyDescent="0.25">
      <c r="A54">
        <v>53</v>
      </c>
      <c r="B54">
        <v>2</v>
      </c>
      <c r="C54" s="7">
        <v>45098</v>
      </c>
      <c r="D54" s="9" t="s">
        <v>25</v>
      </c>
      <c r="E54" t="s">
        <v>16</v>
      </c>
      <c r="F54" t="s">
        <v>17</v>
      </c>
      <c r="G54" t="s">
        <v>23</v>
      </c>
      <c r="H54">
        <v>0.02</v>
      </c>
      <c r="I54">
        <v>0</v>
      </c>
      <c r="J54" t="s">
        <v>19</v>
      </c>
      <c r="K54" t="s">
        <v>19</v>
      </c>
      <c r="L54" t="s">
        <v>19</v>
      </c>
      <c r="M54" t="s">
        <v>19</v>
      </c>
      <c r="N54">
        <v>1</v>
      </c>
    </row>
    <row r="55" spans="1:15" x14ac:dyDescent="0.25">
      <c r="A55">
        <v>54</v>
      </c>
      <c r="B55">
        <v>2</v>
      </c>
      <c r="C55" s="7">
        <v>45098</v>
      </c>
      <c r="D55" s="9" t="s">
        <v>25</v>
      </c>
      <c r="E55" t="s">
        <v>16</v>
      </c>
      <c r="F55" t="s">
        <v>17</v>
      </c>
      <c r="G55" t="s">
        <v>23</v>
      </c>
      <c r="H55">
        <v>0.02</v>
      </c>
      <c r="I55">
        <v>0</v>
      </c>
      <c r="J55" t="s">
        <v>19</v>
      </c>
      <c r="K55" t="s">
        <v>19</v>
      </c>
      <c r="L55" t="s">
        <v>19</v>
      </c>
      <c r="M55" t="s">
        <v>19</v>
      </c>
      <c r="N55">
        <v>1</v>
      </c>
    </row>
    <row r="56" spans="1:15" x14ac:dyDescent="0.25">
      <c r="A56">
        <v>55</v>
      </c>
      <c r="B56">
        <v>2</v>
      </c>
      <c r="C56" s="7">
        <v>45098</v>
      </c>
      <c r="D56" s="9" t="s">
        <v>25</v>
      </c>
      <c r="E56" t="s">
        <v>16</v>
      </c>
      <c r="F56" t="s">
        <v>17</v>
      </c>
      <c r="G56" t="s">
        <v>23</v>
      </c>
      <c r="H56">
        <v>0.02</v>
      </c>
      <c r="I56">
        <v>0</v>
      </c>
      <c r="J56" t="s">
        <v>19</v>
      </c>
      <c r="K56" t="s">
        <v>19</v>
      </c>
      <c r="L56" t="s">
        <v>19</v>
      </c>
      <c r="M56" t="s">
        <v>19</v>
      </c>
      <c r="N56" t="s">
        <v>19</v>
      </c>
      <c r="O56" t="s">
        <v>21</v>
      </c>
    </row>
    <row r="57" spans="1:15" x14ac:dyDescent="0.25">
      <c r="A57">
        <v>56</v>
      </c>
      <c r="B57">
        <v>2</v>
      </c>
      <c r="C57" s="7">
        <v>45098</v>
      </c>
      <c r="D57" s="9" t="s">
        <v>25</v>
      </c>
      <c r="E57" t="s">
        <v>16</v>
      </c>
      <c r="F57" t="s">
        <v>17</v>
      </c>
      <c r="G57" t="s">
        <v>23</v>
      </c>
      <c r="H57">
        <v>0.02</v>
      </c>
      <c r="I57">
        <v>1</v>
      </c>
      <c r="J57">
        <v>42</v>
      </c>
      <c r="K57">
        <v>12</v>
      </c>
      <c r="L57">
        <f t="shared" si="0"/>
        <v>0.55555555555555558</v>
      </c>
      <c r="M57" t="s">
        <v>27</v>
      </c>
      <c r="N57" t="s">
        <v>19</v>
      </c>
    </row>
    <row r="58" spans="1:15" x14ac:dyDescent="0.25">
      <c r="A58">
        <v>57</v>
      </c>
      <c r="B58">
        <v>2</v>
      </c>
      <c r="C58" s="7">
        <v>45098</v>
      </c>
      <c r="D58" s="9" t="s">
        <v>25</v>
      </c>
      <c r="E58" t="s">
        <v>16</v>
      </c>
      <c r="F58" t="s">
        <v>17</v>
      </c>
      <c r="G58" t="s">
        <v>23</v>
      </c>
      <c r="H58">
        <v>0.02</v>
      </c>
      <c r="I58">
        <v>0</v>
      </c>
      <c r="J58" t="s">
        <v>19</v>
      </c>
      <c r="K58" t="s">
        <v>19</v>
      </c>
      <c r="L58" t="s">
        <v>19</v>
      </c>
      <c r="M58" t="s">
        <v>19</v>
      </c>
      <c r="N58">
        <v>1</v>
      </c>
    </row>
    <row r="59" spans="1:15" x14ac:dyDescent="0.25">
      <c r="A59">
        <v>58</v>
      </c>
      <c r="B59">
        <v>2</v>
      </c>
      <c r="C59" s="7">
        <v>45098</v>
      </c>
      <c r="D59" s="9" t="s">
        <v>25</v>
      </c>
      <c r="E59" t="s">
        <v>16</v>
      </c>
      <c r="F59" t="s">
        <v>17</v>
      </c>
      <c r="G59" t="s">
        <v>23</v>
      </c>
      <c r="H59">
        <v>0.02</v>
      </c>
      <c r="I59">
        <v>1</v>
      </c>
      <c r="J59">
        <v>0</v>
      </c>
      <c r="K59">
        <v>16</v>
      </c>
      <c r="L59">
        <f t="shared" si="0"/>
        <v>-1</v>
      </c>
      <c r="M59" t="s">
        <v>28</v>
      </c>
      <c r="N59" t="s">
        <v>19</v>
      </c>
    </row>
    <row r="60" spans="1:15" x14ac:dyDescent="0.25">
      <c r="A60">
        <v>59</v>
      </c>
      <c r="B60">
        <v>2</v>
      </c>
      <c r="C60" s="7">
        <v>45098</v>
      </c>
      <c r="D60" s="9" t="s">
        <v>25</v>
      </c>
      <c r="E60" t="s">
        <v>16</v>
      </c>
      <c r="F60" t="s">
        <v>17</v>
      </c>
      <c r="G60" t="s">
        <v>23</v>
      </c>
      <c r="H60">
        <v>0.02</v>
      </c>
      <c r="I60">
        <v>1</v>
      </c>
      <c r="J60">
        <v>0</v>
      </c>
      <c r="K60">
        <v>33</v>
      </c>
      <c r="L60">
        <f t="shared" si="0"/>
        <v>-1</v>
      </c>
      <c r="M60" t="s">
        <v>28</v>
      </c>
      <c r="N60" t="s">
        <v>19</v>
      </c>
    </row>
    <row r="61" spans="1:15" x14ac:dyDescent="0.25">
      <c r="A61">
        <v>60</v>
      </c>
      <c r="B61">
        <v>2</v>
      </c>
      <c r="C61" s="7">
        <v>45098</v>
      </c>
      <c r="D61" s="9" t="s">
        <v>25</v>
      </c>
      <c r="E61" t="s">
        <v>16</v>
      </c>
      <c r="F61" t="s">
        <v>17</v>
      </c>
      <c r="G61" t="s">
        <v>23</v>
      </c>
      <c r="H61">
        <v>0.02</v>
      </c>
      <c r="I61">
        <v>1</v>
      </c>
      <c r="J61">
        <v>54</v>
      </c>
      <c r="K61">
        <v>0</v>
      </c>
      <c r="L61">
        <f t="shared" si="0"/>
        <v>1</v>
      </c>
      <c r="M61" t="s">
        <v>27</v>
      </c>
      <c r="N61" t="s">
        <v>19</v>
      </c>
    </row>
    <row r="62" spans="1:15" x14ac:dyDescent="0.25">
      <c r="A62">
        <v>61</v>
      </c>
      <c r="B62">
        <v>2</v>
      </c>
      <c r="C62" s="7">
        <v>45098</v>
      </c>
      <c r="D62" s="9" t="s">
        <v>25</v>
      </c>
      <c r="E62" t="s">
        <v>16</v>
      </c>
      <c r="F62" t="s">
        <v>17</v>
      </c>
      <c r="G62" t="s">
        <v>24</v>
      </c>
      <c r="H62">
        <v>0.2</v>
      </c>
      <c r="I62">
        <v>0</v>
      </c>
      <c r="J62" t="s">
        <v>19</v>
      </c>
      <c r="K62" t="s">
        <v>19</v>
      </c>
      <c r="L62" t="s">
        <v>19</v>
      </c>
      <c r="M62" t="s">
        <v>19</v>
      </c>
      <c r="N62">
        <v>1</v>
      </c>
    </row>
    <row r="63" spans="1:15" x14ac:dyDescent="0.25">
      <c r="A63">
        <v>62</v>
      </c>
      <c r="B63">
        <v>2</v>
      </c>
      <c r="C63" s="7">
        <v>45098</v>
      </c>
      <c r="D63" s="9" t="s">
        <v>25</v>
      </c>
      <c r="E63" t="s">
        <v>16</v>
      </c>
      <c r="F63" t="s">
        <v>17</v>
      </c>
      <c r="G63" t="s">
        <v>24</v>
      </c>
      <c r="H63">
        <v>0.2</v>
      </c>
      <c r="I63">
        <v>1</v>
      </c>
      <c r="J63">
        <v>0</v>
      </c>
      <c r="K63">
        <v>25</v>
      </c>
      <c r="L63">
        <f t="shared" si="0"/>
        <v>-1</v>
      </c>
      <c r="M63" t="s">
        <v>28</v>
      </c>
      <c r="N63" t="s">
        <v>19</v>
      </c>
      <c r="O63" t="s">
        <v>21</v>
      </c>
    </row>
    <row r="64" spans="1:15" x14ac:dyDescent="0.25">
      <c r="A64">
        <v>63</v>
      </c>
      <c r="B64">
        <v>2</v>
      </c>
      <c r="C64" s="7">
        <v>45098</v>
      </c>
      <c r="D64" s="9" t="s">
        <v>25</v>
      </c>
      <c r="E64" t="s">
        <v>16</v>
      </c>
      <c r="F64" t="s">
        <v>17</v>
      </c>
      <c r="G64" t="s">
        <v>24</v>
      </c>
      <c r="H64">
        <v>0.2</v>
      </c>
      <c r="I64">
        <v>0</v>
      </c>
      <c r="J64" t="s">
        <v>19</v>
      </c>
      <c r="K64" t="s">
        <v>19</v>
      </c>
      <c r="L64" t="s">
        <v>19</v>
      </c>
      <c r="M64" t="s">
        <v>19</v>
      </c>
      <c r="N64" t="s">
        <v>19</v>
      </c>
      <c r="O64" t="s">
        <v>21</v>
      </c>
    </row>
    <row r="65" spans="1:15" x14ac:dyDescent="0.25">
      <c r="A65">
        <v>64</v>
      </c>
      <c r="B65">
        <v>2</v>
      </c>
      <c r="C65" s="7">
        <v>45098</v>
      </c>
      <c r="D65" s="9" t="s">
        <v>25</v>
      </c>
      <c r="E65" t="s">
        <v>16</v>
      </c>
      <c r="F65" t="s">
        <v>17</v>
      </c>
      <c r="G65" t="s">
        <v>24</v>
      </c>
      <c r="H65">
        <v>0.2</v>
      </c>
      <c r="I65">
        <v>0</v>
      </c>
      <c r="J65" t="s">
        <v>19</v>
      </c>
      <c r="K65" t="s">
        <v>19</v>
      </c>
      <c r="L65" t="s">
        <v>19</v>
      </c>
      <c r="M65" t="s">
        <v>19</v>
      </c>
      <c r="N65">
        <v>0</v>
      </c>
    </row>
    <row r="66" spans="1:15" x14ac:dyDescent="0.25">
      <c r="A66">
        <v>65</v>
      </c>
      <c r="B66">
        <v>2</v>
      </c>
      <c r="C66" s="7">
        <v>45098</v>
      </c>
      <c r="D66" s="9" t="s">
        <v>25</v>
      </c>
      <c r="E66" t="s">
        <v>16</v>
      </c>
      <c r="F66" t="s">
        <v>17</v>
      </c>
      <c r="G66" t="s">
        <v>24</v>
      </c>
      <c r="H66">
        <v>0.2</v>
      </c>
      <c r="I66">
        <v>0</v>
      </c>
      <c r="J66" t="s">
        <v>19</v>
      </c>
      <c r="K66" t="s">
        <v>19</v>
      </c>
      <c r="L66" t="s">
        <v>19</v>
      </c>
      <c r="M66" t="s">
        <v>19</v>
      </c>
      <c r="N66">
        <v>1</v>
      </c>
    </row>
    <row r="67" spans="1:15" x14ac:dyDescent="0.25">
      <c r="A67">
        <v>66</v>
      </c>
      <c r="B67">
        <v>2</v>
      </c>
      <c r="C67" s="7">
        <v>45098</v>
      </c>
      <c r="D67" s="9" t="s">
        <v>25</v>
      </c>
      <c r="E67" t="s">
        <v>16</v>
      </c>
      <c r="F67" t="s">
        <v>17</v>
      </c>
      <c r="G67" t="s">
        <v>24</v>
      </c>
      <c r="H67">
        <v>0.2</v>
      </c>
      <c r="I67">
        <v>1</v>
      </c>
      <c r="J67">
        <v>20</v>
      </c>
      <c r="K67">
        <v>0</v>
      </c>
      <c r="L67">
        <f t="shared" ref="L67:L126" si="1">(J67-K67)/(J67+K67)</f>
        <v>1</v>
      </c>
      <c r="M67" t="s">
        <v>27</v>
      </c>
      <c r="N67" t="s">
        <v>19</v>
      </c>
    </row>
    <row r="68" spans="1:15" x14ac:dyDescent="0.25">
      <c r="A68">
        <v>67</v>
      </c>
      <c r="B68">
        <v>2</v>
      </c>
      <c r="C68" s="7">
        <v>45098</v>
      </c>
      <c r="D68" s="9" t="s">
        <v>25</v>
      </c>
      <c r="E68" t="s">
        <v>16</v>
      </c>
      <c r="F68" t="s">
        <v>17</v>
      </c>
      <c r="G68" t="s">
        <v>24</v>
      </c>
      <c r="H68">
        <v>0.2</v>
      </c>
      <c r="I68">
        <v>0</v>
      </c>
      <c r="J68" t="s">
        <v>19</v>
      </c>
      <c r="K68" t="s">
        <v>19</v>
      </c>
      <c r="L68" t="s">
        <v>19</v>
      </c>
      <c r="M68" t="s">
        <v>19</v>
      </c>
      <c r="N68">
        <v>1</v>
      </c>
    </row>
    <row r="69" spans="1:15" x14ac:dyDescent="0.25">
      <c r="A69">
        <v>68</v>
      </c>
      <c r="B69">
        <v>2</v>
      </c>
      <c r="C69" s="7">
        <v>45098</v>
      </c>
      <c r="D69" s="9" t="s">
        <v>25</v>
      </c>
      <c r="E69" t="s">
        <v>16</v>
      </c>
      <c r="F69" t="s">
        <v>17</v>
      </c>
      <c r="G69" t="s">
        <v>24</v>
      </c>
      <c r="H69">
        <v>0.2</v>
      </c>
      <c r="I69">
        <v>1</v>
      </c>
      <c r="J69">
        <v>26</v>
      </c>
      <c r="K69">
        <v>29</v>
      </c>
      <c r="L69">
        <f t="shared" si="1"/>
        <v>-5.4545454545454543E-2</v>
      </c>
      <c r="M69" t="s">
        <v>28</v>
      </c>
      <c r="N69" t="s">
        <v>19</v>
      </c>
    </row>
    <row r="70" spans="1:15" x14ac:dyDescent="0.25">
      <c r="A70">
        <v>69</v>
      </c>
      <c r="B70">
        <v>2</v>
      </c>
      <c r="C70" s="7">
        <v>45098</v>
      </c>
      <c r="D70" s="9" t="s">
        <v>25</v>
      </c>
      <c r="E70" t="s">
        <v>16</v>
      </c>
      <c r="F70" t="s">
        <v>17</v>
      </c>
      <c r="G70" t="s">
        <v>24</v>
      </c>
      <c r="H70">
        <v>0.2</v>
      </c>
      <c r="I70">
        <v>1</v>
      </c>
      <c r="J70">
        <v>57</v>
      </c>
      <c r="K70">
        <v>0</v>
      </c>
      <c r="L70">
        <f t="shared" si="1"/>
        <v>1</v>
      </c>
      <c r="M70" t="s">
        <v>27</v>
      </c>
      <c r="N70" t="s">
        <v>19</v>
      </c>
    </row>
    <row r="71" spans="1:15" x14ac:dyDescent="0.25">
      <c r="A71">
        <v>70</v>
      </c>
      <c r="B71">
        <v>2</v>
      </c>
      <c r="C71" s="7">
        <v>45098</v>
      </c>
      <c r="D71" s="9" t="s">
        <v>25</v>
      </c>
      <c r="E71" t="s">
        <v>16</v>
      </c>
      <c r="F71" t="s">
        <v>17</v>
      </c>
      <c r="G71" t="s">
        <v>24</v>
      </c>
      <c r="H71">
        <v>0.2</v>
      </c>
      <c r="I71">
        <v>1</v>
      </c>
      <c r="J71">
        <v>66</v>
      </c>
      <c r="K71">
        <v>0</v>
      </c>
      <c r="L71">
        <f t="shared" si="1"/>
        <v>1</v>
      </c>
      <c r="M71" t="s">
        <v>27</v>
      </c>
      <c r="N71" t="s">
        <v>19</v>
      </c>
    </row>
    <row r="72" spans="1:15" x14ac:dyDescent="0.25">
      <c r="A72">
        <v>71</v>
      </c>
      <c r="B72">
        <v>2</v>
      </c>
      <c r="C72" s="7">
        <v>45098</v>
      </c>
      <c r="D72" s="9" t="s">
        <v>25</v>
      </c>
      <c r="E72" t="s">
        <v>16</v>
      </c>
      <c r="F72" t="s">
        <v>17</v>
      </c>
      <c r="G72" t="s">
        <v>26</v>
      </c>
      <c r="H72">
        <v>2</v>
      </c>
      <c r="I72">
        <v>1</v>
      </c>
      <c r="J72">
        <v>0</v>
      </c>
      <c r="K72">
        <v>6</v>
      </c>
      <c r="L72">
        <f t="shared" si="1"/>
        <v>-1</v>
      </c>
      <c r="M72" t="s">
        <v>28</v>
      </c>
      <c r="N72" t="s">
        <v>19</v>
      </c>
    </row>
    <row r="73" spans="1:15" x14ac:dyDescent="0.25">
      <c r="A73">
        <v>72</v>
      </c>
      <c r="B73">
        <v>2</v>
      </c>
      <c r="C73" s="7">
        <v>45098</v>
      </c>
      <c r="D73" s="9" t="s">
        <v>25</v>
      </c>
      <c r="E73" t="s">
        <v>16</v>
      </c>
      <c r="F73" t="s">
        <v>17</v>
      </c>
      <c r="G73" t="s">
        <v>26</v>
      </c>
      <c r="H73">
        <v>2</v>
      </c>
      <c r="I73">
        <v>0</v>
      </c>
      <c r="J73" t="s">
        <v>19</v>
      </c>
      <c r="K73" t="s">
        <v>19</v>
      </c>
      <c r="L73" t="s">
        <v>19</v>
      </c>
      <c r="M73" t="s">
        <v>19</v>
      </c>
      <c r="N73">
        <v>0</v>
      </c>
    </row>
    <row r="74" spans="1:15" x14ac:dyDescent="0.25">
      <c r="A74">
        <v>73</v>
      </c>
      <c r="B74">
        <v>2</v>
      </c>
      <c r="C74" s="7">
        <v>45098</v>
      </c>
      <c r="D74" s="9" t="s">
        <v>25</v>
      </c>
      <c r="E74" t="s">
        <v>16</v>
      </c>
      <c r="F74" t="s">
        <v>17</v>
      </c>
      <c r="G74" t="s">
        <v>26</v>
      </c>
      <c r="H74">
        <v>2</v>
      </c>
      <c r="I74">
        <v>1</v>
      </c>
      <c r="J74">
        <v>0</v>
      </c>
      <c r="K74">
        <v>33</v>
      </c>
      <c r="L74">
        <f t="shared" si="1"/>
        <v>-1</v>
      </c>
      <c r="M74" t="s">
        <v>28</v>
      </c>
      <c r="N74" t="s">
        <v>19</v>
      </c>
    </row>
    <row r="75" spans="1:15" x14ac:dyDescent="0.25">
      <c r="A75">
        <v>74</v>
      </c>
      <c r="B75">
        <v>2</v>
      </c>
      <c r="C75" s="7">
        <v>45098</v>
      </c>
      <c r="D75" s="9" t="s">
        <v>25</v>
      </c>
      <c r="E75" t="s">
        <v>16</v>
      </c>
      <c r="F75" t="s">
        <v>17</v>
      </c>
      <c r="G75" t="s">
        <v>26</v>
      </c>
      <c r="H75">
        <v>2</v>
      </c>
      <c r="I75">
        <v>1</v>
      </c>
      <c r="J75">
        <v>2</v>
      </c>
      <c r="K75">
        <v>2</v>
      </c>
      <c r="L75">
        <f t="shared" si="1"/>
        <v>0</v>
      </c>
      <c r="M75" t="s">
        <v>29</v>
      </c>
      <c r="N75" t="s">
        <v>19</v>
      </c>
    </row>
    <row r="76" spans="1:15" x14ac:dyDescent="0.25">
      <c r="A76">
        <v>75</v>
      </c>
      <c r="B76">
        <v>2</v>
      </c>
      <c r="C76" s="7">
        <v>45098</v>
      </c>
      <c r="D76" s="9" t="s">
        <v>25</v>
      </c>
      <c r="E76" t="s">
        <v>16</v>
      </c>
      <c r="F76" t="s">
        <v>17</v>
      </c>
      <c r="G76" t="s">
        <v>26</v>
      </c>
      <c r="H76">
        <v>2</v>
      </c>
      <c r="I76">
        <v>0</v>
      </c>
      <c r="J76" t="s">
        <v>19</v>
      </c>
      <c r="K76" t="s">
        <v>19</v>
      </c>
      <c r="L76" t="s">
        <v>19</v>
      </c>
      <c r="M76" t="s">
        <v>19</v>
      </c>
      <c r="N76" t="s">
        <v>19</v>
      </c>
      <c r="O76" t="s">
        <v>21</v>
      </c>
    </row>
    <row r="77" spans="1:15" x14ac:dyDescent="0.25">
      <c r="A77">
        <v>76</v>
      </c>
      <c r="B77">
        <v>2</v>
      </c>
      <c r="C77" s="7">
        <v>45098</v>
      </c>
      <c r="D77" s="9" t="s">
        <v>25</v>
      </c>
      <c r="E77" t="s">
        <v>16</v>
      </c>
      <c r="F77" t="s">
        <v>17</v>
      </c>
      <c r="G77" t="s">
        <v>26</v>
      </c>
      <c r="H77">
        <v>2</v>
      </c>
      <c r="I77">
        <v>1</v>
      </c>
      <c r="J77">
        <v>39</v>
      </c>
      <c r="K77">
        <v>0</v>
      </c>
      <c r="L77">
        <f t="shared" si="1"/>
        <v>1</v>
      </c>
      <c r="M77" t="s">
        <v>27</v>
      </c>
      <c r="N77" t="s">
        <v>19</v>
      </c>
    </row>
    <row r="78" spans="1:15" x14ac:dyDescent="0.25">
      <c r="A78">
        <v>77</v>
      </c>
      <c r="B78">
        <v>2</v>
      </c>
      <c r="C78" s="7">
        <v>45098</v>
      </c>
      <c r="D78" s="9" t="s">
        <v>25</v>
      </c>
      <c r="E78" t="s">
        <v>16</v>
      </c>
      <c r="F78" t="s">
        <v>17</v>
      </c>
      <c r="G78" t="s">
        <v>26</v>
      </c>
      <c r="H78">
        <v>2</v>
      </c>
      <c r="I78">
        <v>1</v>
      </c>
      <c r="J78">
        <v>36</v>
      </c>
      <c r="K78">
        <v>8</v>
      </c>
      <c r="L78">
        <f t="shared" si="1"/>
        <v>0.63636363636363635</v>
      </c>
      <c r="M78" t="s">
        <v>27</v>
      </c>
      <c r="N78" t="s">
        <v>19</v>
      </c>
    </row>
    <row r="79" spans="1:15" x14ac:dyDescent="0.25">
      <c r="A79">
        <v>78</v>
      </c>
      <c r="B79">
        <v>2</v>
      </c>
      <c r="C79" s="7">
        <v>45098</v>
      </c>
      <c r="D79" s="9" t="s">
        <v>25</v>
      </c>
      <c r="E79" t="s">
        <v>16</v>
      </c>
      <c r="F79" t="s">
        <v>17</v>
      </c>
      <c r="G79" t="s">
        <v>26</v>
      </c>
      <c r="H79">
        <v>2</v>
      </c>
      <c r="I79">
        <v>0</v>
      </c>
      <c r="J79" t="s">
        <v>19</v>
      </c>
      <c r="K79" t="s">
        <v>19</v>
      </c>
      <c r="L79" t="s">
        <v>19</v>
      </c>
      <c r="M79" t="s">
        <v>19</v>
      </c>
      <c r="N79">
        <v>1</v>
      </c>
    </row>
    <row r="80" spans="1:15" x14ac:dyDescent="0.25">
      <c r="A80">
        <v>79</v>
      </c>
      <c r="B80">
        <v>2</v>
      </c>
      <c r="C80" s="7">
        <v>45098</v>
      </c>
      <c r="D80" s="9" t="s">
        <v>25</v>
      </c>
      <c r="E80" t="s">
        <v>16</v>
      </c>
      <c r="F80" t="s">
        <v>17</v>
      </c>
      <c r="G80" t="s">
        <v>26</v>
      </c>
      <c r="H80">
        <v>2</v>
      </c>
      <c r="I80">
        <v>1</v>
      </c>
      <c r="J80">
        <v>18</v>
      </c>
      <c r="K80">
        <v>3</v>
      </c>
      <c r="L80">
        <f t="shared" si="1"/>
        <v>0.7142857142857143</v>
      </c>
      <c r="M80" t="s">
        <v>27</v>
      </c>
      <c r="N80" t="s">
        <v>19</v>
      </c>
    </row>
    <row r="81" spans="1:15" x14ac:dyDescent="0.25">
      <c r="A81">
        <v>80</v>
      </c>
      <c r="B81">
        <v>2</v>
      </c>
      <c r="C81" s="7">
        <v>45098</v>
      </c>
      <c r="D81" s="9" t="s">
        <v>25</v>
      </c>
      <c r="E81" t="s">
        <v>16</v>
      </c>
      <c r="F81" t="s">
        <v>17</v>
      </c>
      <c r="G81" t="s">
        <v>26</v>
      </c>
      <c r="H81">
        <v>2</v>
      </c>
      <c r="I81">
        <v>1</v>
      </c>
      <c r="J81">
        <v>4</v>
      </c>
      <c r="K81">
        <v>40</v>
      </c>
      <c r="L81">
        <f t="shared" si="1"/>
        <v>-0.81818181818181823</v>
      </c>
      <c r="M81" t="s">
        <v>28</v>
      </c>
      <c r="N81" t="s">
        <v>19</v>
      </c>
      <c r="O81" t="s">
        <v>21</v>
      </c>
    </row>
    <row r="82" spans="1:15" x14ac:dyDescent="0.25">
      <c r="A82">
        <v>81</v>
      </c>
      <c r="B82">
        <v>3</v>
      </c>
      <c r="C82" s="7">
        <v>45105</v>
      </c>
      <c r="D82" s="9" t="s">
        <v>25</v>
      </c>
      <c r="E82" t="s">
        <v>16</v>
      </c>
      <c r="F82" t="s">
        <v>17</v>
      </c>
      <c r="G82" t="s">
        <v>18</v>
      </c>
      <c r="H82">
        <v>0</v>
      </c>
      <c r="I82">
        <v>0</v>
      </c>
      <c r="J82" t="s">
        <v>19</v>
      </c>
      <c r="K82" t="s">
        <v>19</v>
      </c>
      <c r="L82" t="s">
        <v>19</v>
      </c>
      <c r="M82" t="s">
        <v>19</v>
      </c>
      <c r="N82" t="s">
        <v>19</v>
      </c>
      <c r="O82" t="s">
        <v>21</v>
      </c>
    </row>
    <row r="83" spans="1:15" x14ac:dyDescent="0.25">
      <c r="A83">
        <v>82</v>
      </c>
      <c r="B83">
        <v>3</v>
      </c>
      <c r="C83" s="7">
        <v>45105</v>
      </c>
      <c r="D83" s="9" t="s">
        <v>25</v>
      </c>
      <c r="E83" t="s">
        <v>16</v>
      </c>
      <c r="F83" t="s">
        <v>17</v>
      </c>
      <c r="G83" t="s">
        <v>18</v>
      </c>
      <c r="H83">
        <v>0</v>
      </c>
      <c r="I83">
        <v>0</v>
      </c>
      <c r="J83" t="s">
        <v>19</v>
      </c>
      <c r="K83" t="s">
        <v>19</v>
      </c>
      <c r="L83" t="s">
        <v>19</v>
      </c>
      <c r="M83" t="s">
        <v>19</v>
      </c>
      <c r="N83">
        <v>0</v>
      </c>
    </row>
    <row r="84" spans="1:15" x14ac:dyDescent="0.25">
      <c r="A84">
        <v>83</v>
      </c>
      <c r="B84">
        <v>3</v>
      </c>
      <c r="C84" s="7">
        <v>45105</v>
      </c>
      <c r="D84" s="9" t="s">
        <v>25</v>
      </c>
      <c r="E84" t="s">
        <v>16</v>
      </c>
      <c r="F84" t="s">
        <v>17</v>
      </c>
      <c r="G84" t="s">
        <v>18</v>
      </c>
      <c r="H84">
        <v>0</v>
      </c>
      <c r="I84">
        <v>1</v>
      </c>
      <c r="J84">
        <v>22</v>
      </c>
      <c r="K84">
        <v>0</v>
      </c>
      <c r="L84">
        <f t="shared" si="1"/>
        <v>1</v>
      </c>
      <c r="M84" t="s">
        <v>27</v>
      </c>
      <c r="N84" t="s">
        <v>19</v>
      </c>
    </row>
    <row r="85" spans="1:15" x14ac:dyDescent="0.25">
      <c r="A85">
        <v>84</v>
      </c>
      <c r="B85">
        <v>3</v>
      </c>
      <c r="C85" s="7">
        <v>45105</v>
      </c>
      <c r="D85" s="9" t="s">
        <v>25</v>
      </c>
      <c r="E85" t="s">
        <v>16</v>
      </c>
      <c r="F85" t="s">
        <v>17</v>
      </c>
      <c r="G85" t="s">
        <v>18</v>
      </c>
      <c r="H85">
        <v>0</v>
      </c>
      <c r="I85">
        <v>1</v>
      </c>
      <c r="J85">
        <v>45</v>
      </c>
      <c r="K85">
        <v>0</v>
      </c>
      <c r="L85">
        <f t="shared" si="1"/>
        <v>1</v>
      </c>
      <c r="M85" t="s">
        <v>27</v>
      </c>
      <c r="N85" t="s">
        <v>19</v>
      </c>
    </row>
    <row r="86" spans="1:15" x14ac:dyDescent="0.25">
      <c r="A86">
        <v>85</v>
      </c>
      <c r="B86">
        <v>3</v>
      </c>
      <c r="C86" s="7">
        <v>45105</v>
      </c>
      <c r="D86" s="9" t="s">
        <v>25</v>
      </c>
      <c r="E86" t="s">
        <v>16</v>
      </c>
      <c r="F86" t="s">
        <v>17</v>
      </c>
      <c r="G86" t="s">
        <v>18</v>
      </c>
      <c r="H86">
        <v>0</v>
      </c>
      <c r="I86">
        <v>1</v>
      </c>
      <c r="J86">
        <v>22</v>
      </c>
      <c r="K86">
        <v>56</v>
      </c>
      <c r="L86">
        <f t="shared" si="1"/>
        <v>-0.4358974358974359</v>
      </c>
      <c r="M86" t="s">
        <v>28</v>
      </c>
      <c r="N86" t="s">
        <v>19</v>
      </c>
    </row>
    <row r="87" spans="1:15" x14ac:dyDescent="0.25">
      <c r="A87">
        <v>86</v>
      </c>
      <c r="B87">
        <v>3</v>
      </c>
      <c r="C87" s="7">
        <v>45105</v>
      </c>
      <c r="D87" s="9" t="s">
        <v>25</v>
      </c>
      <c r="E87" t="s">
        <v>16</v>
      </c>
      <c r="F87" t="s">
        <v>17</v>
      </c>
      <c r="G87" t="s">
        <v>18</v>
      </c>
      <c r="H87">
        <v>0</v>
      </c>
      <c r="I87">
        <v>1</v>
      </c>
      <c r="J87">
        <v>9</v>
      </c>
      <c r="K87">
        <v>19</v>
      </c>
      <c r="L87">
        <f t="shared" si="1"/>
        <v>-0.35714285714285715</v>
      </c>
      <c r="M87" t="s">
        <v>28</v>
      </c>
      <c r="N87" t="s">
        <v>19</v>
      </c>
    </row>
    <row r="88" spans="1:15" x14ac:dyDescent="0.25">
      <c r="A88">
        <v>87</v>
      </c>
      <c r="B88">
        <v>3</v>
      </c>
      <c r="C88" s="7">
        <v>45105</v>
      </c>
      <c r="D88" s="9" t="s">
        <v>25</v>
      </c>
      <c r="E88" t="s">
        <v>16</v>
      </c>
      <c r="F88" t="s">
        <v>17</v>
      </c>
      <c r="G88" t="s">
        <v>18</v>
      </c>
      <c r="H88">
        <v>0</v>
      </c>
      <c r="I88">
        <v>0</v>
      </c>
      <c r="J88" t="s">
        <v>19</v>
      </c>
      <c r="K88" t="s">
        <v>19</v>
      </c>
      <c r="L88" t="s">
        <v>19</v>
      </c>
      <c r="M88" t="s">
        <v>19</v>
      </c>
      <c r="N88">
        <v>1</v>
      </c>
    </row>
    <row r="89" spans="1:15" x14ac:dyDescent="0.25">
      <c r="A89">
        <v>88</v>
      </c>
      <c r="B89">
        <v>3</v>
      </c>
      <c r="C89" s="7">
        <v>45105</v>
      </c>
      <c r="D89" s="9" t="s">
        <v>25</v>
      </c>
      <c r="E89" t="s">
        <v>16</v>
      </c>
      <c r="F89" t="s">
        <v>17</v>
      </c>
      <c r="G89" t="s">
        <v>18</v>
      </c>
      <c r="H89">
        <v>0</v>
      </c>
      <c r="I89">
        <v>1</v>
      </c>
      <c r="J89">
        <v>36</v>
      </c>
      <c r="K89">
        <v>0</v>
      </c>
      <c r="L89">
        <f t="shared" si="1"/>
        <v>1</v>
      </c>
      <c r="M89" t="s">
        <v>27</v>
      </c>
      <c r="N89" t="s">
        <v>19</v>
      </c>
    </row>
    <row r="90" spans="1:15" x14ac:dyDescent="0.25">
      <c r="A90">
        <v>89</v>
      </c>
      <c r="B90">
        <v>3</v>
      </c>
      <c r="C90" s="7">
        <v>45105</v>
      </c>
      <c r="D90" s="9" t="s">
        <v>25</v>
      </c>
      <c r="E90" t="s">
        <v>16</v>
      </c>
      <c r="F90" t="s">
        <v>17</v>
      </c>
      <c r="G90" t="s">
        <v>18</v>
      </c>
      <c r="H90">
        <v>0</v>
      </c>
      <c r="I90">
        <v>0</v>
      </c>
      <c r="J90" t="s">
        <v>19</v>
      </c>
      <c r="K90" t="s">
        <v>19</v>
      </c>
      <c r="L90" t="s">
        <v>19</v>
      </c>
      <c r="M90" t="s">
        <v>19</v>
      </c>
      <c r="N90" t="s">
        <v>19</v>
      </c>
      <c r="O90" t="s">
        <v>21</v>
      </c>
    </row>
    <row r="91" spans="1:15" x14ac:dyDescent="0.25">
      <c r="A91">
        <v>90</v>
      </c>
      <c r="B91">
        <v>3</v>
      </c>
      <c r="C91" s="7">
        <v>45105</v>
      </c>
      <c r="D91" s="9" t="s">
        <v>25</v>
      </c>
      <c r="E91" t="s">
        <v>16</v>
      </c>
      <c r="F91" t="s">
        <v>17</v>
      </c>
      <c r="G91" t="s">
        <v>18</v>
      </c>
      <c r="H91">
        <v>0</v>
      </c>
      <c r="I91">
        <v>0</v>
      </c>
      <c r="J91" t="s">
        <v>19</v>
      </c>
      <c r="K91" t="s">
        <v>19</v>
      </c>
      <c r="L91" t="s">
        <v>19</v>
      </c>
      <c r="M91" t="s">
        <v>19</v>
      </c>
      <c r="N91">
        <v>1</v>
      </c>
    </row>
    <row r="92" spans="1:15" x14ac:dyDescent="0.25">
      <c r="A92">
        <v>91</v>
      </c>
      <c r="B92">
        <v>3</v>
      </c>
      <c r="C92" s="7">
        <v>45105</v>
      </c>
      <c r="D92" s="9" t="s">
        <v>25</v>
      </c>
      <c r="E92" t="s">
        <v>16</v>
      </c>
      <c r="F92" t="s">
        <v>17</v>
      </c>
      <c r="G92" t="s">
        <v>23</v>
      </c>
      <c r="H92">
        <v>0.02</v>
      </c>
      <c r="I92">
        <v>1</v>
      </c>
      <c r="J92">
        <v>3</v>
      </c>
      <c r="K92">
        <v>16</v>
      </c>
      <c r="L92">
        <f t="shared" si="1"/>
        <v>-0.68421052631578949</v>
      </c>
      <c r="M92" t="s">
        <v>28</v>
      </c>
      <c r="N92" t="s">
        <v>19</v>
      </c>
    </row>
    <row r="93" spans="1:15" x14ac:dyDescent="0.25">
      <c r="A93">
        <v>92</v>
      </c>
      <c r="B93">
        <v>3</v>
      </c>
      <c r="C93" s="7">
        <v>45105</v>
      </c>
      <c r="D93" s="9" t="s">
        <v>25</v>
      </c>
      <c r="E93" t="s">
        <v>16</v>
      </c>
      <c r="F93" t="s">
        <v>17</v>
      </c>
      <c r="G93" t="s">
        <v>23</v>
      </c>
      <c r="H93">
        <v>0.02</v>
      </c>
      <c r="I93">
        <v>0</v>
      </c>
      <c r="J93" t="s">
        <v>19</v>
      </c>
      <c r="K93" t="s">
        <v>19</v>
      </c>
      <c r="L93" t="s">
        <v>19</v>
      </c>
      <c r="M93" t="s">
        <v>19</v>
      </c>
      <c r="N93">
        <v>0</v>
      </c>
    </row>
    <row r="94" spans="1:15" x14ac:dyDescent="0.25">
      <c r="A94">
        <v>93</v>
      </c>
      <c r="B94">
        <v>3</v>
      </c>
      <c r="C94" s="7">
        <v>45105</v>
      </c>
      <c r="D94" s="9" t="s">
        <v>25</v>
      </c>
      <c r="E94" t="s">
        <v>16</v>
      </c>
      <c r="F94" t="s">
        <v>17</v>
      </c>
      <c r="G94" t="s">
        <v>23</v>
      </c>
      <c r="H94">
        <v>0.02</v>
      </c>
      <c r="I94">
        <v>0</v>
      </c>
      <c r="J94" t="s">
        <v>19</v>
      </c>
      <c r="K94" t="s">
        <v>19</v>
      </c>
      <c r="L94" t="s">
        <v>19</v>
      </c>
      <c r="M94" t="s">
        <v>19</v>
      </c>
      <c r="N94">
        <v>1</v>
      </c>
    </row>
    <row r="95" spans="1:15" x14ac:dyDescent="0.25">
      <c r="A95">
        <v>94</v>
      </c>
      <c r="B95">
        <v>3</v>
      </c>
      <c r="C95" s="7">
        <v>45105</v>
      </c>
      <c r="D95" s="9" t="s">
        <v>25</v>
      </c>
      <c r="E95" t="s">
        <v>16</v>
      </c>
      <c r="F95" t="s">
        <v>17</v>
      </c>
      <c r="G95" t="s">
        <v>23</v>
      </c>
      <c r="H95">
        <v>0.02</v>
      </c>
      <c r="I95">
        <v>0</v>
      </c>
      <c r="J95" t="s">
        <v>19</v>
      </c>
      <c r="K95" t="s">
        <v>19</v>
      </c>
      <c r="L95" t="s">
        <v>19</v>
      </c>
      <c r="M95" t="s">
        <v>19</v>
      </c>
      <c r="N95">
        <v>0</v>
      </c>
    </row>
    <row r="96" spans="1:15" x14ac:dyDescent="0.25">
      <c r="A96">
        <v>95</v>
      </c>
      <c r="B96">
        <v>3</v>
      </c>
      <c r="C96" s="7">
        <v>45105</v>
      </c>
      <c r="D96" s="9" t="s">
        <v>25</v>
      </c>
      <c r="E96" t="s">
        <v>16</v>
      </c>
      <c r="F96" t="s">
        <v>17</v>
      </c>
      <c r="G96" t="s">
        <v>23</v>
      </c>
      <c r="H96">
        <v>0.02</v>
      </c>
      <c r="I96">
        <v>0</v>
      </c>
      <c r="J96" t="s">
        <v>19</v>
      </c>
      <c r="K96" t="s">
        <v>19</v>
      </c>
      <c r="L96" t="s">
        <v>19</v>
      </c>
      <c r="M96" t="s">
        <v>19</v>
      </c>
      <c r="N96">
        <v>1</v>
      </c>
    </row>
    <row r="97" spans="1:14" x14ac:dyDescent="0.25">
      <c r="A97">
        <v>96</v>
      </c>
      <c r="B97">
        <v>3</v>
      </c>
      <c r="C97" s="7">
        <v>45105</v>
      </c>
      <c r="D97" s="9" t="s">
        <v>25</v>
      </c>
      <c r="E97" t="s">
        <v>16</v>
      </c>
      <c r="F97" t="s">
        <v>17</v>
      </c>
      <c r="G97" t="s">
        <v>23</v>
      </c>
      <c r="H97">
        <v>0.02</v>
      </c>
      <c r="I97">
        <v>1</v>
      </c>
      <c r="J97">
        <v>2</v>
      </c>
      <c r="K97">
        <v>4</v>
      </c>
      <c r="L97">
        <f t="shared" si="1"/>
        <v>-0.33333333333333331</v>
      </c>
      <c r="M97" t="s">
        <v>28</v>
      </c>
      <c r="N97" t="s">
        <v>19</v>
      </c>
    </row>
    <row r="98" spans="1:14" x14ac:dyDescent="0.25">
      <c r="A98">
        <v>97</v>
      </c>
      <c r="B98">
        <v>3</v>
      </c>
      <c r="C98" s="7">
        <v>45105</v>
      </c>
      <c r="D98" s="9" t="s">
        <v>25</v>
      </c>
      <c r="E98" t="s">
        <v>16</v>
      </c>
      <c r="F98" t="s">
        <v>17</v>
      </c>
      <c r="G98" t="s">
        <v>23</v>
      </c>
      <c r="H98">
        <v>0.02</v>
      </c>
      <c r="I98">
        <v>1</v>
      </c>
      <c r="J98">
        <v>27</v>
      </c>
      <c r="K98">
        <v>17</v>
      </c>
      <c r="L98">
        <f t="shared" si="1"/>
        <v>0.22727272727272727</v>
      </c>
      <c r="M98" t="s">
        <v>27</v>
      </c>
      <c r="N98" t="s">
        <v>19</v>
      </c>
    </row>
    <row r="99" spans="1:14" x14ac:dyDescent="0.25">
      <c r="A99">
        <v>98</v>
      </c>
      <c r="B99">
        <v>3</v>
      </c>
      <c r="C99" s="7">
        <v>45105</v>
      </c>
      <c r="D99" s="9" t="s">
        <v>25</v>
      </c>
      <c r="E99" t="s">
        <v>16</v>
      </c>
      <c r="F99" t="s">
        <v>17</v>
      </c>
      <c r="G99" t="s">
        <v>23</v>
      </c>
      <c r="H99">
        <v>0.02</v>
      </c>
      <c r="I99">
        <v>1</v>
      </c>
      <c r="J99">
        <v>17</v>
      </c>
      <c r="K99">
        <v>4</v>
      </c>
      <c r="L99">
        <f t="shared" si="1"/>
        <v>0.61904761904761907</v>
      </c>
      <c r="M99" t="s">
        <v>27</v>
      </c>
      <c r="N99" t="s">
        <v>19</v>
      </c>
    </row>
    <row r="100" spans="1:14" x14ac:dyDescent="0.25">
      <c r="A100">
        <v>99</v>
      </c>
      <c r="B100">
        <v>3</v>
      </c>
      <c r="C100" s="7">
        <v>45105</v>
      </c>
      <c r="D100" s="9" t="s">
        <v>25</v>
      </c>
      <c r="E100" t="s">
        <v>16</v>
      </c>
      <c r="F100" t="s">
        <v>17</v>
      </c>
      <c r="G100" t="s">
        <v>23</v>
      </c>
      <c r="H100">
        <v>0.02</v>
      </c>
      <c r="I100">
        <v>1</v>
      </c>
      <c r="J100">
        <v>0</v>
      </c>
      <c r="K100">
        <v>68</v>
      </c>
      <c r="L100">
        <f t="shared" si="1"/>
        <v>-1</v>
      </c>
      <c r="M100" t="s">
        <v>28</v>
      </c>
      <c r="N100" t="s">
        <v>19</v>
      </c>
    </row>
    <row r="101" spans="1:14" x14ac:dyDescent="0.25">
      <c r="A101">
        <v>100</v>
      </c>
      <c r="B101">
        <v>3</v>
      </c>
      <c r="C101" s="7">
        <v>45105</v>
      </c>
      <c r="D101" s="9" t="s">
        <v>25</v>
      </c>
      <c r="E101" t="s">
        <v>16</v>
      </c>
      <c r="F101" t="s">
        <v>17</v>
      </c>
      <c r="G101" t="s">
        <v>23</v>
      </c>
      <c r="H101">
        <v>0.02</v>
      </c>
      <c r="I101">
        <v>0</v>
      </c>
      <c r="J101" t="s">
        <v>19</v>
      </c>
      <c r="K101" t="s">
        <v>19</v>
      </c>
      <c r="L101" t="s">
        <v>19</v>
      </c>
      <c r="M101" t="s">
        <v>19</v>
      </c>
      <c r="N101">
        <v>0</v>
      </c>
    </row>
    <row r="102" spans="1:14" x14ac:dyDescent="0.25">
      <c r="A102">
        <v>101</v>
      </c>
      <c r="B102">
        <v>3</v>
      </c>
      <c r="C102" s="7">
        <v>45105</v>
      </c>
      <c r="D102" s="9" t="s">
        <v>25</v>
      </c>
      <c r="E102" t="s">
        <v>16</v>
      </c>
      <c r="F102" t="s">
        <v>17</v>
      </c>
      <c r="G102" t="s">
        <v>24</v>
      </c>
      <c r="H102">
        <v>0.2</v>
      </c>
      <c r="I102">
        <v>1</v>
      </c>
      <c r="J102">
        <v>14</v>
      </c>
      <c r="K102">
        <v>0</v>
      </c>
      <c r="L102">
        <f t="shared" si="1"/>
        <v>1</v>
      </c>
      <c r="M102" t="s">
        <v>27</v>
      </c>
      <c r="N102" t="s">
        <v>19</v>
      </c>
    </row>
    <row r="103" spans="1:14" x14ac:dyDescent="0.25">
      <c r="A103">
        <v>102</v>
      </c>
      <c r="B103">
        <v>3</v>
      </c>
      <c r="C103" s="7">
        <v>45105</v>
      </c>
      <c r="D103" s="9" t="s">
        <v>25</v>
      </c>
      <c r="E103" t="s">
        <v>16</v>
      </c>
      <c r="F103" t="s">
        <v>17</v>
      </c>
      <c r="G103" t="s">
        <v>24</v>
      </c>
      <c r="H103">
        <v>0.2</v>
      </c>
      <c r="I103">
        <v>1</v>
      </c>
      <c r="J103">
        <v>1</v>
      </c>
      <c r="K103">
        <v>45</v>
      </c>
      <c r="L103">
        <f t="shared" si="1"/>
        <v>-0.95652173913043481</v>
      </c>
      <c r="M103" t="s">
        <v>28</v>
      </c>
      <c r="N103" t="s">
        <v>19</v>
      </c>
    </row>
    <row r="104" spans="1:14" x14ac:dyDescent="0.25">
      <c r="A104">
        <v>103</v>
      </c>
      <c r="B104">
        <v>3</v>
      </c>
      <c r="C104" s="7">
        <v>45105</v>
      </c>
      <c r="D104" s="9" t="s">
        <v>25</v>
      </c>
      <c r="E104" t="s">
        <v>16</v>
      </c>
      <c r="F104" t="s">
        <v>17</v>
      </c>
      <c r="G104" t="s">
        <v>24</v>
      </c>
      <c r="H104">
        <v>0.2</v>
      </c>
      <c r="I104">
        <v>0</v>
      </c>
      <c r="J104" t="s">
        <v>19</v>
      </c>
      <c r="K104" t="s">
        <v>19</v>
      </c>
      <c r="L104" t="s">
        <v>19</v>
      </c>
      <c r="M104" t="s">
        <v>19</v>
      </c>
      <c r="N104">
        <v>0</v>
      </c>
    </row>
    <row r="105" spans="1:14" x14ac:dyDescent="0.25">
      <c r="A105">
        <v>104</v>
      </c>
      <c r="B105">
        <v>3</v>
      </c>
      <c r="C105" s="7">
        <v>45105</v>
      </c>
      <c r="D105" s="9" t="s">
        <v>25</v>
      </c>
      <c r="E105" t="s">
        <v>16</v>
      </c>
      <c r="F105" t="s">
        <v>17</v>
      </c>
      <c r="G105" t="s">
        <v>24</v>
      </c>
      <c r="H105">
        <v>0.2</v>
      </c>
      <c r="I105">
        <v>1</v>
      </c>
      <c r="J105">
        <v>15</v>
      </c>
      <c r="K105">
        <v>4</v>
      </c>
      <c r="L105">
        <f t="shared" si="1"/>
        <v>0.57894736842105265</v>
      </c>
      <c r="M105" t="s">
        <v>27</v>
      </c>
      <c r="N105" t="s">
        <v>19</v>
      </c>
    </row>
    <row r="106" spans="1:14" x14ac:dyDescent="0.25">
      <c r="A106">
        <v>105</v>
      </c>
      <c r="B106">
        <v>3</v>
      </c>
      <c r="C106" s="7">
        <v>45105</v>
      </c>
      <c r="D106" s="9" t="s">
        <v>25</v>
      </c>
      <c r="E106" t="s">
        <v>16</v>
      </c>
      <c r="F106" t="s">
        <v>17</v>
      </c>
      <c r="G106" t="s">
        <v>24</v>
      </c>
      <c r="H106">
        <v>0.2</v>
      </c>
      <c r="I106">
        <v>0</v>
      </c>
      <c r="J106" t="s">
        <v>19</v>
      </c>
      <c r="K106" t="s">
        <v>19</v>
      </c>
      <c r="L106" t="s">
        <v>19</v>
      </c>
      <c r="M106" t="s">
        <v>19</v>
      </c>
      <c r="N106">
        <v>1</v>
      </c>
    </row>
    <row r="107" spans="1:14" x14ac:dyDescent="0.25">
      <c r="A107">
        <v>106</v>
      </c>
      <c r="B107">
        <v>3</v>
      </c>
      <c r="C107" s="7">
        <v>45105</v>
      </c>
      <c r="D107" s="9" t="s">
        <v>25</v>
      </c>
      <c r="E107" t="s">
        <v>16</v>
      </c>
      <c r="F107" t="s">
        <v>17</v>
      </c>
      <c r="G107" t="s">
        <v>24</v>
      </c>
      <c r="H107">
        <v>0.2</v>
      </c>
      <c r="I107">
        <v>1</v>
      </c>
      <c r="J107">
        <v>0</v>
      </c>
      <c r="K107">
        <v>5</v>
      </c>
      <c r="L107">
        <f t="shared" si="1"/>
        <v>-1</v>
      </c>
      <c r="M107" t="s">
        <v>28</v>
      </c>
      <c r="N107" t="s">
        <v>19</v>
      </c>
    </row>
    <row r="108" spans="1:14" x14ac:dyDescent="0.25">
      <c r="A108">
        <v>107</v>
      </c>
      <c r="B108">
        <v>3</v>
      </c>
      <c r="C108" s="7">
        <v>45105</v>
      </c>
      <c r="D108" s="9" t="s">
        <v>25</v>
      </c>
      <c r="E108" t="s">
        <v>16</v>
      </c>
      <c r="F108" t="s">
        <v>17</v>
      </c>
      <c r="G108" t="s">
        <v>24</v>
      </c>
      <c r="H108">
        <v>0.2</v>
      </c>
      <c r="I108">
        <v>0</v>
      </c>
      <c r="J108" t="s">
        <v>19</v>
      </c>
      <c r="K108" t="s">
        <v>19</v>
      </c>
      <c r="L108" t="s">
        <v>19</v>
      </c>
      <c r="M108" t="s">
        <v>19</v>
      </c>
      <c r="N108" t="s">
        <v>19</v>
      </c>
    </row>
    <row r="109" spans="1:14" x14ac:dyDescent="0.25">
      <c r="A109">
        <v>108</v>
      </c>
      <c r="B109">
        <v>3</v>
      </c>
      <c r="C109" s="7">
        <v>45105</v>
      </c>
      <c r="D109" s="9" t="s">
        <v>25</v>
      </c>
      <c r="E109" t="s">
        <v>16</v>
      </c>
      <c r="F109" t="s">
        <v>17</v>
      </c>
      <c r="G109" t="s">
        <v>24</v>
      </c>
      <c r="H109">
        <v>0.2</v>
      </c>
      <c r="I109">
        <v>1</v>
      </c>
      <c r="J109">
        <v>0</v>
      </c>
      <c r="K109">
        <v>10</v>
      </c>
      <c r="L109">
        <f t="shared" si="1"/>
        <v>-1</v>
      </c>
      <c r="M109" t="s">
        <v>28</v>
      </c>
      <c r="N109" t="s">
        <v>19</v>
      </c>
    </row>
    <row r="110" spans="1:14" x14ac:dyDescent="0.25">
      <c r="A110">
        <v>109</v>
      </c>
      <c r="B110">
        <v>3</v>
      </c>
      <c r="C110" s="7">
        <v>45105</v>
      </c>
      <c r="D110" s="9" t="s">
        <v>25</v>
      </c>
      <c r="E110" t="s">
        <v>16</v>
      </c>
      <c r="F110" t="s">
        <v>17</v>
      </c>
      <c r="G110" t="s">
        <v>24</v>
      </c>
      <c r="H110">
        <v>0.2</v>
      </c>
      <c r="I110">
        <v>0</v>
      </c>
      <c r="J110" t="s">
        <v>19</v>
      </c>
      <c r="K110" t="s">
        <v>19</v>
      </c>
      <c r="L110" t="s">
        <v>19</v>
      </c>
      <c r="M110" t="s">
        <v>19</v>
      </c>
      <c r="N110">
        <v>0</v>
      </c>
    </row>
    <row r="111" spans="1:14" x14ac:dyDescent="0.25">
      <c r="A111">
        <v>110</v>
      </c>
      <c r="B111">
        <v>3</v>
      </c>
      <c r="C111" s="7">
        <v>45105</v>
      </c>
      <c r="D111" s="9" t="s">
        <v>25</v>
      </c>
      <c r="E111" t="s">
        <v>16</v>
      </c>
      <c r="F111" t="s">
        <v>17</v>
      </c>
      <c r="G111" t="s">
        <v>24</v>
      </c>
      <c r="H111">
        <v>0.2</v>
      </c>
      <c r="I111">
        <v>1</v>
      </c>
      <c r="J111">
        <v>6</v>
      </c>
      <c r="K111">
        <v>0</v>
      </c>
      <c r="L111">
        <f t="shared" si="1"/>
        <v>1</v>
      </c>
      <c r="M111" t="s">
        <v>27</v>
      </c>
      <c r="N111" t="s">
        <v>19</v>
      </c>
    </row>
    <row r="112" spans="1:14" x14ac:dyDescent="0.25">
      <c r="A112">
        <v>111</v>
      </c>
      <c r="B112">
        <v>3</v>
      </c>
      <c r="C112" s="7">
        <v>45105</v>
      </c>
      <c r="D112" s="9" t="s">
        <v>25</v>
      </c>
      <c r="E112" t="s">
        <v>16</v>
      </c>
      <c r="F112" t="s">
        <v>17</v>
      </c>
      <c r="G112" t="s">
        <v>26</v>
      </c>
      <c r="H112">
        <v>2</v>
      </c>
      <c r="I112">
        <v>0</v>
      </c>
      <c r="J112" t="s">
        <v>19</v>
      </c>
      <c r="K112" t="s">
        <v>19</v>
      </c>
      <c r="L112" t="s">
        <v>19</v>
      </c>
      <c r="M112" t="s">
        <v>19</v>
      </c>
      <c r="N112">
        <v>1</v>
      </c>
    </row>
    <row r="113" spans="1:15" x14ac:dyDescent="0.25">
      <c r="A113">
        <v>112</v>
      </c>
      <c r="B113">
        <v>3</v>
      </c>
      <c r="C113" s="7">
        <v>45105</v>
      </c>
      <c r="D113" s="9" t="s">
        <v>25</v>
      </c>
      <c r="E113" t="s">
        <v>16</v>
      </c>
      <c r="F113" t="s">
        <v>17</v>
      </c>
      <c r="G113" t="s">
        <v>26</v>
      </c>
      <c r="H113">
        <v>2</v>
      </c>
      <c r="I113">
        <v>1</v>
      </c>
      <c r="J113">
        <v>18</v>
      </c>
      <c r="K113">
        <v>17</v>
      </c>
      <c r="L113">
        <f t="shared" si="1"/>
        <v>2.8571428571428571E-2</v>
      </c>
      <c r="M113" t="s">
        <v>27</v>
      </c>
      <c r="N113" t="s">
        <v>19</v>
      </c>
    </row>
    <row r="114" spans="1:15" x14ac:dyDescent="0.25">
      <c r="A114">
        <v>113</v>
      </c>
      <c r="B114">
        <v>3</v>
      </c>
      <c r="C114" s="7">
        <v>45105</v>
      </c>
      <c r="D114" s="9" t="s">
        <v>25</v>
      </c>
      <c r="E114" t="s">
        <v>16</v>
      </c>
      <c r="F114" t="s">
        <v>17</v>
      </c>
      <c r="G114" t="s">
        <v>26</v>
      </c>
      <c r="H114">
        <v>2</v>
      </c>
      <c r="I114">
        <v>0</v>
      </c>
      <c r="J114" t="s">
        <v>19</v>
      </c>
      <c r="K114" t="s">
        <v>19</v>
      </c>
      <c r="L114" t="s">
        <v>19</v>
      </c>
      <c r="M114" t="s">
        <v>19</v>
      </c>
      <c r="N114" t="s">
        <v>19</v>
      </c>
      <c r="O114" t="s">
        <v>21</v>
      </c>
    </row>
    <row r="115" spans="1:15" x14ac:dyDescent="0.25">
      <c r="A115">
        <v>114</v>
      </c>
      <c r="B115">
        <v>3</v>
      </c>
      <c r="C115" s="7">
        <v>45105</v>
      </c>
      <c r="D115" s="9" t="s">
        <v>25</v>
      </c>
      <c r="E115" t="s">
        <v>16</v>
      </c>
      <c r="F115" t="s">
        <v>17</v>
      </c>
      <c r="G115" t="s">
        <v>26</v>
      </c>
      <c r="H115">
        <v>2</v>
      </c>
      <c r="I115">
        <v>0</v>
      </c>
      <c r="J115" t="s">
        <v>19</v>
      </c>
      <c r="K115" t="s">
        <v>19</v>
      </c>
      <c r="L115" t="s">
        <v>19</v>
      </c>
      <c r="M115" t="s">
        <v>19</v>
      </c>
      <c r="N115">
        <v>1</v>
      </c>
    </row>
    <row r="116" spans="1:15" x14ac:dyDescent="0.25">
      <c r="A116">
        <v>115</v>
      </c>
      <c r="B116">
        <v>3</v>
      </c>
      <c r="C116" s="7">
        <v>45105</v>
      </c>
      <c r="D116" s="9" t="s">
        <v>25</v>
      </c>
      <c r="E116" t="s">
        <v>16</v>
      </c>
      <c r="F116" t="s">
        <v>17</v>
      </c>
      <c r="G116" t="s">
        <v>26</v>
      </c>
      <c r="H116">
        <v>2</v>
      </c>
      <c r="I116">
        <v>1</v>
      </c>
      <c r="J116">
        <v>16</v>
      </c>
      <c r="K116">
        <v>3</v>
      </c>
      <c r="L116">
        <f t="shared" si="1"/>
        <v>0.68421052631578949</v>
      </c>
      <c r="M116" t="s">
        <v>27</v>
      </c>
      <c r="N116" t="s">
        <v>19</v>
      </c>
    </row>
    <row r="117" spans="1:15" x14ac:dyDescent="0.25">
      <c r="A117">
        <v>116</v>
      </c>
      <c r="B117">
        <v>3</v>
      </c>
      <c r="C117" s="7">
        <v>45105</v>
      </c>
      <c r="D117" s="9" t="s">
        <v>25</v>
      </c>
      <c r="E117" t="s">
        <v>16</v>
      </c>
      <c r="F117" t="s">
        <v>17</v>
      </c>
      <c r="G117" t="s">
        <v>26</v>
      </c>
      <c r="H117">
        <v>2</v>
      </c>
      <c r="I117">
        <v>0</v>
      </c>
      <c r="J117" t="s">
        <v>19</v>
      </c>
      <c r="K117" t="s">
        <v>19</v>
      </c>
      <c r="L117" t="s">
        <v>19</v>
      </c>
      <c r="M117" t="s">
        <v>19</v>
      </c>
      <c r="N117">
        <v>1</v>
      </c>
    </row>
    <row r="118" spans="1:15" x14ac:dyDescent="0.25">
      <c r="A118">
        <v>117</v>
      </c>
      <c r="B118">
        <v>3</v>
      </c>
      <c r="C118" s="7">
        <v>45105</v>
      </c>
      <c r="D118" s="9" t="s">
        <v>25</v>
      </c>
      <c r="E118" t="s">
        <v>16</v>
      </c>
      <c r="F118" t="s">
        <v>17</v>
      </c>
      <c r="G118" t="s">
        <v>26</v>
      </c>
      <c r="H118">
        <v>2</v>
      </c>
      <c r="I118">
        <v>1</v>
      </c>
      <c r="J118">
        <v>0</v>
      </c>
      <c r="K118">
        <v>20</v>
      </c>
      <c r="L118">
        <f t="shared" si="1"/>
        <v>-1</v>
      </c>
      <c r="M118" t="s">
        <v>28</v>
      </c>
      <c r="N118" t="s">
        <v>19</v>
      </c>
      <c r="O118" t="s">
        <v>21</v>
      </c>
    </row>
    <row r="119" spans="1:15" x14ac:dyDescent="0.25">
      <c r="A119">
        <v>118</v>
      </c>
      <c r="B119">
        <v>3</v>
      </c>
      <c r="C119" s="7">
        <v>45105</v>
      </c>
      <c r="D119" s="9" t="s">
        <v>25</v>
      </c>
      <c r="E119" t="s">
        <v>16</v>
      </c>
      <c r="F119" t="s">
        <v>17</v>
      </c>
      <c r="G119" t="s">
        <v>26</v>
      </c>
      <c r="H119">
        <v>2</v>
      </c>
      <c r="I119">
        <v>1</v>
      </c>
      <c r="J119">
        <v>53</v>
      </c>
      <c r="K119">
        <v>14</v>
      </c>
      <c r="L119">
        <f>(J119-K119)/(J119+K119)</f>
        <v>0.58208955223880599</v>
      </c>
      <c r="M119" t="s">
        <v>27</v>
      </c>
      <c r="N119" t="s">
        <v>19</v>
      </c>
    </row>
    <row r="120" spans="1:15" x14ac:dyDescent="0.25">
      <c r="A120">
        <v>119</v>
      </c>
      <c r="B120">
        <v>3</v>
      </c>
      <c r="C120" s="7">
        <v>45105</v>
      </c>
      <c r="D120" s="9" t="s">
        <v>25</v>
      </c>
      <c r="E120" t="s">
        <v>16</v>
      </c>
      <c r="F120" t="s">
        <v>17</v>
      </c>
      <c r="G120" t="s">
        <v>26</v>
      </c>
      <c r="H120">
        <v>2</v>
      </c>
      <c r="I120">
        <v>1</v>
      </c>
      <c r="J120">
        <v>22</v>
      </c>
      <c r="K120">
        <v>0</v>
      </c>
      <c r="L120">
        <f t="shared" si="1"/>
        <v>1</v>
      </c>
      <c r="M120" t="s">
        <v>27</v>
      </c>
      <c r="N120" t="s">
        <v>19</v>
      </c>
    </row>
    <row r="121" spans="1:15" x14ac:dyDescent="0.25">
      <c r="A121">
        <v>120</v>
      </c>
      <c r="B121">
        <v>3</v>
      </c>
      <c r="C121" s="7">
        <v>45105</v>
      </c>
      <c r="D121" s="9" t="s">
        <v>25</v>
      </c>
      <c r="E121" t="s">
        <v>16</v>
      </c>
      <c r="F121" t="s">
        <v>17</v>
      </c>
      <c r="G121" t="s">
        <v>26</v>
      </c>
      <c r="H121">
        <v>2</v>
      </c>
      <c r="I121">
        <v>1</v>
      </c>
      <c r="J121">
        <v>67</v>
      </c>
      <c r="K121">
        <v>0</v>
      </c>
      <c r="L121">
        <f t="shared" si="1"/>
        <v>1</v>
      </c>
      <c r="M121" t="s">
        <v>27</v>
      </c>
      <c r="N121" t="s">
        <v>19</v>
      </c>
    </row>
    <row r="122" spans="1:15" x14ac:dyDescent="0.25">
      <c r="A122">
        <v>121</v>
      </c>
      <c r="B122">
        <v>4</v>
      </c>
      <c r="C122" s="7">
        <v>45112</v>
      </c>
      <c r="D122" s="9" t="s">
        <v>25</v>
      </c>
      <c r="E122" t="s">
        <v>16</v>
      </c>
      <c r="F122" t="s">
        <v>17</v>
      </c>
      <c r="G122" t="s">
        <v>18</v>
      </c>
      <c r="H122">
        <v>0</v>
      </c>
      <c r="I122">
        <v>0</v>
      </c>
      <c r="J122" t="s">
        <v>19</v>
      </c>
      <c r="K122" t="s">
        <v>19</v>
      </c>
      <c r="L122" t="s">
        <v>19</v>
      </c>
      <c r="M122" t="s">
        <v>19</v>
      </c>
      <c r="N122">
        <v>1</v>
      </c>
    </row>
    <row r="123" spans="1:15" x14ac:dyDescent="0.25">
      <c r="A123">
        <v>122</v>
      </c>
      <c r="B123">
        <v>4</v>
      </c>
      <c r="C123" s="7">
        <v>45112</v>
      </c>
      <c r="D123" s="9" t="s">
        <v>25</v>
      </c>
      <c r="E123" t="s">
        <v>16</v>
      </c>
      <c r="F123" t="s">
        <v>17</v>
      </c>
      <c r="G123" t="s">
        <v>18</v>
      </c>
      <c r="H123">
        <v>0</v>
      </c>
      <c r="I123">
        <v>1</v>
      </c>
      <c r="J123">
        <v>13</v>
      </c>
      <c r="K123">
        <v>6</v>
      </c>
      <c r="L123">
        <f t="shared" si="1"/>
        <v>0.36842105263157893</v>
      </c>
      <c r="M123" t="s">
        <v>27</v>
      </c>
    </row>
    <row r="124" spans="1:15" x14ac:dyDescent="0.25">
      <c r="A124">
        <v>123</v>
      </c>
      <c r="B124">
        <v>4</v>
      </c>
      <c r="C124" s="7">
        <v>45112</v>
      </c>
      <c r="D124" s="9" t="s">
        <v>25</v>
      </c>
      <c r="E124" t="s">
        <v>16</v>
      </c>
      <c r="F124" t="s">
        <v>17</v>
      </c>
      <c r="G124" t="s">
        <v>18</v>
      </c>
      <c r="H124">
        <v>0</v>
      </c>
      <c r="I124">
        <v>1</v>
      </c>
      <c r="J124">
        <v>4</v>
      </c>
      <c r="K124">
        <v>7</v>
      </c>
      <c r="L124">
        <f t="shared" si="1"/>
        <v>-0.27272727272727271</v>
      </c>
      <c r="M124" t="s">
        <v>28</v>
      </c>
    </row>
    <row r="125" spans="1:15" x14ac:dyDescent="0.25">
      <c r="A125">
        <v>124</v>
      </c>
      <c r="B125">
        <v>4</v>
      </c>
      <c r="C125" s="7">
        <v>45112</v>
      </c>
      <c r="D125" s="9" t="s">
        <v>25</v>
      </c>
      <c r="E125" t="s">
        <v>16</v>
      </c>
      <c r="F125" t="s">
        <v>17</v>
      </c>
      <c r="G125" t="s">
        <v>18</v>
      </c>
      <c r="H125">
        <v>0</v>
      </c>
      <c r="I125">
        <v>1</v>
      </c>
      <c r="J125">
        <v>3</v>
      </c>
      <c r="K125">
        <v>0</v>
      </c>
      <c r="L125">
        <f t="shared" si="1"/>
        <v>1</v>
      </c>
      <c r="M125" t="s">
        <v>27</v>
      </c>
    </row>
    <row r="126" spans="1:15" x14ac:dyDescent="0.25">
      <c r="A126">
        <v>125</v>
      </c>
      <c r="B126">
        <v>4</v>
      </c>
      <c r="C126" s="7">
        <v>45112</v>
      </c>
      <c r="D126" s="9" t="s">
        <v>25</v>
      </c>
      <c r="E126" t="s">
        <v>16</v>
      </c>
      <c r="F126" t="s">
        <v>17</v>
      </c>
      <c r="G126" t="s">
        <v>18</v>
      </c>
      <c r="H126">
        <v>0</v>
      </c>
      <c r="I126">
        <v>1</v>
      </c>
      <c r="J126">
        <v>54</v>
      </c>
      <c r="K126">
        <v>0</v>
      </c>
      <c r="L126">
        <f t="shared" si="1"/>
        <v>1</v>
      </c>
      <c r="M126" t="s">
        <v>27</v>
      </c>
    </row>
    <row r="127" spans="1:15" x14ac:dyDescent="0.25">
      <c r="A127">
        <v>126</v>
      </c>
      <c r="B127">
        <v>4</v>
      </c>
      <c r="C127" s="7">
        <v>45112</v>
      </c>
      <c r="D127" s="9" t="s">
        <v>25</v>
      </c>
      <c r="E127" t="s">
        <v>16</v>
      </c>
      <c r="F127" t="s">
        <v>17</v>
      </c>
      <c r="G127" t="s">
        <v>18</v>
      </c>
      <c r="H127">
        <v>0</v>
      </c>
      <c r="I127">
        <v>0</v>
      </c>
      <c r="J127" t="s">
        <v>19</v>
      </c>
      <c r="K127" t="s">
        <v>19</v>
      </c>
      <c r="L127" t="s">
        <v>19</v>
      </c>
      <c r="M127" t="s">
        <v>19</v>
      </c>
      <c r="N127">
        <v>1</v>
      </c>
    </row>
    <row r="128" spans="1:15" x14ac:dyDescent="0.25">
      <c r="A128">
        <v>127</v>
      </c>
      <c r="B128">
        <v>4</v>
      </c>
      <c r="C128" s="7">
        <v>45112</v>
      </c>
      <c r="D128" s="9" t="s">
        <v>25</v>
      </c>
      <c r="E128" t="s">
        <v>16</v>
      </c>
      <c r="F128" t="s">
        <v>17</v>
      </c>
      <c r="G128" t="s">
        <v>18</v>
      </c>
      <c r="H128">
        <v>0</v>
      </c>
      <c r="I128">
        <v>0</v>
      </c>
      <c r="J128" t="s">
        <v>19</v>
      </c>
      <c r="K128" t="s">
        <v>19</v>
      </c>
      <c r="L128" t="s">
        <v>19</v>
      </c>
      <c r="M128" t="s">
        <v>19</v>
      </c>
      <c r="N128">
        <v>1</v>
      </c>
    </row>
    <row r="129" spans="1:14" x14ac:dyDescent="0.25">
      <c r="A129">
        <v>128</v>
      </c>
      <c r="B129">
        <v>4</v>
      </c>
      <c r="C129" s="7">
        <v>45112</v>
      </c>
      <c r="D129" s="9" t="s">
        <v>25</v>
      </c>
      <c r="E129" t="s">
        <v>16</v>
      </c>
      <c r="F129" t="s">
        <v>17</v>
      </c>
      <c r="G129" t="s">
        <v>18</v>
      </c>
      <c r="H129">
        <v>0</v>
      </c>
      <c r="I129">
        <v>1</v>
      </c>
      <c r="J129">
        <v>15</v>
      </c>
      <c r="K129">
        <v>10</v>
      </c>
      <c r="L129">
        <f t="shared" ref="L129" si="2">(J129-K129)/(J129+K129)</f>
        <v>0.2</v>
      </c>
      <c r="M129" t="s">
        <v>27</v>
      </c>
    </row>
    <row r="130" spans="1:14" x14ac:dyDescent="0.25">
      <c r="A130">
        <v>129</v>
      </c>
      <c r="B130">
        <v>4</v>
      </c>
      <c r="C130" s="7">
        <v>45112</v>
      </c>
      <c r="D130" s="9" t="s">
        <v>25</v>
      </c>
      <c r="E130" t="s">
        <v>16</v>
      </c>
      <c r="F130" t="s">
        <v>17</v>
      </c>
      <c r="G130" t="s">
        <v>18</v>
      </c>
      <c r="H130">
        <v>0</v>
      </c>
      <c r="I130">
        <v>0</v>
      </c>
      <c r="J130" t="s">
        <v>19</v>
      </c>
      <c r="K130" t="s">
        <v>19</v>
      </c>
      <c r="L130" t="s">
        <v>19</v>
      </c>
      <c r="M130" t="s">
        <v>19</v>
      </c>
      <c r="N130">
        <v>1</v>
      </c>
    </row>
    <row r="131" spans="1:14" x14ac:dyDescent="0.25">
      <c r="A131">
        <v>130</v>
      </c>
      <c r="B131">
        <v>4</v>
      </c>
      <c r="C131" s="7">
        <v>45112</v>
      </c>
      <c r="D131" s="9" t="s">
        <v>25</v>
      </c>
      <c r="E131" t="s">
        <v>16</v>
      </c>
      <c r="F131" t="s">
        <v>17</v>
      </c>
      <c r="G131" t="s">
        <v>18</v>
      </c>
      <c r="H131">
        <v>0</v>
      </c>
      <c r="I131">
        <v>0</v>
      </c>
      <c r="J131" t="s">
        <v>19</v>
      </c>
      <c r="K131" t="s">
        <v>19</v>
      </c>
      <c r="L131" t="s">
        <v>19</v>
      </c>
      <c r="M131" t="s">
        <v>19</v>
      </c>
      <c r="N131">
        <v>1</v>
      </c>
    </row>
    <row r="132" spans="1:14" x14ac:dyDescent="0.25">
      <c r="A132">
        <v>131</v>
      </c>
      <c r="B132">
        <v>4</v>
      </c>
      <c r="C132" s="7">
        <v>45112</v>
      </c>
      <c r="D132" s="9" t="s">
        <v>25</v>
      </c>
      <c r="E132" t="s">
        <v>16</v>
      </c>
      <c r="F132" t="s">
        <v>17</v>
      </c>
      <c r="G132" t="s">
        <v>23</v>
      </c>
      <c r="H132">
        <v>0.02</v>
      </c>
      <c r="I132">
        <v>0</v>
      </c>
      <c r="J132" t="s">
        <v>19</v>
      </c>
      <c r="K132" t="s">
        <v>19</v>
      </c>
      <c r="L132" t="s">
        <v>19</v>
      </c>
      <c r="M132" t="s">
        <v>19</v>
      </c>
      <c r="N132">
        <v>1</v>
      </c>
    </row>
    <row r="133" spans="1:14" x14ac:dyDescent="0.25">
      <c r="A133">
        <v>132</v>
      </c>
      <c r="B133">
        <v>4</v>
      </c>
      <c r="C133" s="7">
        <v>45112</v>
      </c>
      <c r="D133" s="9" t="s">
        <v>25</v>
      </c>
      <c r="E133" t="s">
        <v>16</v>
      </c>
      <c r="F133" t="s">
        <v>17</v>
      </c>
      <c r="G133" t="s">
        <v>23</v>
      </c>
      <c r="H133">
        <v>0.02</v>
      </c>
      <c r="I133">
        <v>1</v>
      </c>
      <c r="J133">
        <v>0</v>
      </c>
      <c r="K133">
        <v>28</v>
      </c>
      <c r="L133">
        <f t="shared" ref="L133:L134" si="3">(J133-K133)/(J133+K133)</f>
        <v>-1</v>
      </c>
      <c r="M133" t="s">
        <v>28</v>
      </c>
    </row>
    <row r="134" spans="1:14" x14ac:dyDescent="0.25">
      <c r="A134">
        <v>133</v>
      </c>
      <c r="B134">
        <v>4</v>
      </c>
      <c r="C134" s="7">
        <v>45112</v>
      </c>
      <c r="D134" s="9" t="s">
        <v>25</v>
      </c>
      <c r="E134" t="s">
        <v>16</v>
      </c>
      <c r="F134" t="s">
        <v>17</v>
      </c>
      <c r="G134" t="s">
        <v>23</v>
      </c>
      <c r="H134">
        <v>0.02</v>
      </c>
      <c r="I134">
        <v>1</v>
      </c>
      <c r="J134">
        <v>20</v>
      </c>
      <c r="K134">
        <v>0</v>
      </c>
      <c r="L134">
        <f t="shared" si="3"/>
        <v>1</v>
      </c>
      <c r="M134" t="s">
        <v>27</v>
      </c>
    </row>
    <row r="135" spans="1:14" x14ac:dyDescent="0.25">
      <c r="A135">
        <v>134</v>
      </c>
      <c r="B135">
        <v>4</v>
      </c>
      <c r="C135" s="7">
        <v>45112</v>
      </c>
      <c r="D135" s="9" t="s">
        <v>25</v>
      </c>
      <c r="E135" t="s">
        <v>16</v>
      </c>
      <c r="F135" t="s">
        <v>17</v>
      </c>
      <c r="G135" t="s">
        <v>23</v>
      </c>
      <c r="H135">
        <v>0.02</v>
      </c>
      <c r="I135">
        <v>0</v>
      </c>
      <c r="J135" t="s">
        <v>19</v>
      </c>
      <c r="K135" t="s">
        <v>19</v>
      </c>
      <c r="L135" t="s">
        <v>19</v>
      </c>
      <c r="M135" t="s">
        <v>19</v>
      </c>
      <c r="N135">
        <v>1</v>
      </c>
    </row>
    <row r="136" spans="1:14" x14ac:dyDescent="0.25">
      <c r="A136">
        <v>135</v>
      </c>
      <c r="B136">
        <v>4</v>
      </c>
      <c r="C136" s="7">
        <v>45112</v>
      </c>
      <c r="D136" s="9" t="s">
        <v>25</v>
      </c>
      <c r="E136" t="s">
        <v>16</v>
      </c>
      <c r="F136" t="s">
        <v>17</v>
      </c>
      <c r="G136" t="s">
        <v>23</v>
      </c>
      <c r="H136">
        <v>0.02</v>
      </c>
      <c r="I136">
        <v>0</v>
      </c>
      <c r="J136" t="s">
        <v>19</v>
      </c>
      <c r="K136" t="s">
        <v>19</v>
      </c>
      <c r="L136" t="s">
        <v>19</v>
      </c>
      <c r="M136" t="s">
        <v>19</v>
      </c>
      <c r="N136">
        <v>1</v>
      </c>
    </row>
    <row r="137" spans="1:14" x14ac:dyDescent="0.25">
      <c r="A137">
        <v>136</v>
      </c>
      <c r="B137">
        <v>4</v>
      </c>
      <c r="C137" s="7">
        <v>45112</v>
      </c>
      <c r="D137" s="9" t="s">
        <v>25</v>
      </c>
      <c r="E137" t="s">
        <v>16</v>
      </c>
      <c r="F137" t="s">
        <v>17</v>
      </c>
      <c r="G137" t="s">
        <v>23</v>
      </c>
      <c r="H137">
        <v>0.02</v>
      </c>
      <c r="I137">
        <v>1</v>
      </c>
      <c r="J137">
        <v>22</v>
      </c>
      <c r="K137">
        <v>0</v>
      </c>
      <c r="L137">
        <f t="shared" ref="L137" si="4">(J137-K137)/(J137+K137)</f>
        <v>1</v>
      </c>
      <c r="M137" t="s">
        <v>27</v>
      </c>
    </row>
    <row r="138" spans="1:14" x14ac:dyDescent="0.25">
      <c r="A138">
        <v>137</v>
      </c>
      <c r="B138">
        <v>4</v>
      </c>
      <c r="C138" s="7">
        <v>45112</v>
      </c>
      <c r="D138" s="9" t="s">
        <v>25</v>
      </c>
      <c r="E138" t="s">
        <v>16</v>
      </c>
      <c r="F138" t="s">
        <v>17</v>
      </c>
      <c r="G138" t="s">
        <v>23</v>
      </c>
      <c r="H138">
        <v>0.02</v>
      </c>
      <c r="I138">
        <v>0</v>
      </c>
      <c r="J138" t="s">
        <v>19</v>
      </c>
      <c r="K138" t="s">
        <v>19</v>
      </c>
      <c r="L138" t="s">
        <v>19</v>
      </c>
      <c r="M138" t="s">
        <v>19</v>
      </c>
      <c r="N138">
        <v>1</v>
      </c>
    </row>
    <row r="139" spans="1:14" x14ac:dyDescent="0.25">
      <c r="A139">
        <v>138</v>
      </c>
      <c r="B139">
        <v>4</v>
      </c>
      <c r="C139" s="7">
        <v>45112</v>
      </c>
      <c r="D139" s="9" t="s">
        <v>25</v>
      </c>
      <c r="E139" t="s">
        <v>16</v>
      </c>
      <c r="F139" t="s">
        <v>17</v>
      </c>
      <c r="G139" t="s">
        <v>23</v>
      </c>
      <c r="H139">
        <v>0.02</v>
      </c>
      <c r="I139">
        <v>0</v>
      </c>
      <c r="J139" t="s">
        <v>19</v>
      </c>
      <c r="K139" t="s">
        <v>19</v>
      </c>
      <c r="L139" t="s">
        <v>19</v>
      </c>
      <c r="M139" t="s">
        <v>19</v>
      </c>
      <c r="N139">
        <v>1</v>
      </c>
    </row>
    <row r="140" spans="1:14" x14ac:dyDescent="0.25">
      <c r="A140">
        <v>139</v>
      </c>
      <c r="B140">
        <v>4</v>
      </c>
      <c r="C140" s="7">
        <v>45112</v>
      </c>
      <c r="D140" s="9" t="s">
        <v>25</v>
      </c>
      <c r="E140" t="s">
        <v>16</v>
      </c>
      <c r="F140" t="s">
        <v>17</v>
      </c>
      <c r="G140" t="s">
        <v>23</v>
      </c>
      <c r="H140">
        <v>0.02</v>
      </c>
      <c r="I140">
        <v>1</v>
      </c>
      <c r="J140">
        <v>43</v>
      </c>
      <c r="K140">
        <v>5</v>
      </c>
      <c r="L140">
        <f t="shared" ref="L140" si="5">(J140-K140)/(J140+K140)</f>
        <v>0.79166666666666663</v>
      </c>
      <c r="M140" t="s">
        <v>27</v>
      </c>
    </row>
    <row r="141" spans="1:14" x14ac:dyDescent="0.25">
      <c r="A141">
        <v>140</v>
      </c>
      <c r="B141">
        <v>4</v>
      </c>
      <c r="C141" s="7">
        <v>45112</v>
      </c>
      <c r="D141" s="9" t="s">
        <v>25</v>
      </c>
      <c r="E141" t="s">
        <v>16</v>
      </c>
      <c r="F141" t="s">
        <v>17</v>
      </c>
      <c r="G141" t="s">
        <v>23</v>
      </c>
      <c r="H141">
        <v>0.02</v>
      </c>
      <c r="I141">
        <v>0</v>
      </c>
      <c r="J141" t="s">
        <v>19</v>
      </c>
      <c r="K141" t="s">
        <v>19</v>
      </c>
      <c r="L141" t="s">
        <v>19</v>
      </c>
      <c r="M141" t="s">
        <v>19</v>
      </c>
      <c r="N141">
        <v>1</v>
      </c>
    </row>
    <row r="142" spans="1:14" x14ac:dyDescent="0.25">
      <c r="A142">
        <v>141</v>
      </c>
      <c r="B142">
        <v>4</v>
      </c>
      <c r="C142" s="7">
        <v>45112</v>
      </c>
      <c r="D142" s="9" t="s">
        <v>25</v>
      </c>
      <c r="E142" t="s">
        <v>16</v>
      </c>
      <c r="F142" t="s">
        <v>17</v>
      </c>
      <c r="G142" t="s">
        <v>24</v>
      </c>
      <c r="H142">
        <v>0.2</v>
      </c>
      <c r="I142">
        <v>0</v>
      </c>
      <c r="J142" t="s">
        <v>19</v>
      </c>
      <c r="K142" t="s">
        <v>19</v>
      </c>
      <c r="L142" t="s">
        <v>19</v>
      </c>
      <c r="M142" t="s">
        <v>19</v>
      </c>
      <c r="N142">
        <v>1</v>
      </c>
    </row>
    <row r="143" spans="1:14" x14ac:dyDescent="0.25">
      <c r="A143">
        <v>142</v>
      </c>
      <c r="B143">
        <v>4</v>
      </c>
      <c r="C143" s="7">
        <v>45112</v>
      </c>
      <c r="D143" s="9" t="s">
        <v>25</v>
      </c>
      <c r="E143" t="s">
        <v>16</v>
      </c>
      <c r="F143" t="s">
        <v>17</v>
      </c>
      <c r="G143" t="s">
        <v>24</v>
      </c>
      <c r="H143">
        <v>0.2</v>
      </c>
      <c r="I143">
        <v>0</v>
      </c>
      <c r="J143" t="s">
        <v>19</v>
      </c>
      <c r="K143" t="s">
        <v>19</v>
      </c>
      <c r="L143" t="s">
        <v>19</v>
      </c>
      <c r="M143" t="s">
        <v>19</v>
      </c>
      <c r="N143">
        <v>1</v>
      </c>
    </row>
    <row r="144" spans="1:14" x14ac:dyDescent="0.25">
      <c r="A144">
        <v>143</v>
      </c>
      <c r="B144">
        <v>4</v>
      </c>
      <c r="C144" s="7">
        <v>45112</v>
      </c>
      <c r="D144" s="9" t="s">
        <v>25</v>
      </c>
      <c r="E144" t="s">
        <v>16</v>
      </c>
      <c r="F144" t="s">
        <v>17</v>
      </c>
      <c r="G144" t="s">
        <v>24</v>
      </c>
      <c r="H144">
        <v>0.2</v>
      </c>
      <c r="I144">
        <v>1</v>
      </c>
      <c r="J144">
        <v>0</v>
      </c>
      <c r="K144">
        <v>22</v>
      </c>
      <c r="L144">
        <f t="shared" ref="L144" si="6">(J144-K144)/(J144+K144)</f>
        <v>-1</v>
      </c>
      <c r="M144" t="s">
        <v>28</v>
      </c>
    </row>
    <row r="145" spans="1:14" x14ac:dyDescent="0.25">
      <c r="A145">
        <v>144</v>
      </c>
      <c r="B145">
        <v>4</v>
      </c>
      <c r="C145" s="7">
        <v>45112</v>
      </c>
      <c r="D145" s="9" t="s">
        <v>25</v>
      </c>
      <c r="E145" t="s">
        <v>16</v>
      </c>
      <c r="F145" t="s">
        <v>17</v>
      </c>
      <c r="G145" t="s">
        <v>24</v>
      </c>
      <c r="H145">
        <v>0.2</v>
      </c>
      <c r="I145">
        <v>0</v>
      </c>
      <c r="J145" t="s">
        <v>19</v>
      </c>
      <c r="K145" t="s">
        <v>19</v>
      </c>
      <c r="L145" t="s">
        <v>19</v>
      </c>
      <c r="M145" t="s">
        <v>19</v>
      </c>
      <c r="N145">
        <v>0</v>
      </c>
    </row>
    <row r="146" spans="1:14" x14ac:dyDescent="0.25">
      <c r="A146">
        <v>145</v>
      </c>
      <c r="B146">
        <v>4</v>
      </c>
      <c r="C146" s="7">
        <v>45112</v>
      </c>
      <c r="D146" s="9" t="s">
        <v>25</v>
      </c>
      <c r="E146" t="s">
        <v>16</v>
      </c>
      <c r="F146" t="s">
        <v>17</v>
      </c>
      <c r="G146" t="s">
        <v>24</v>
      </c>
      <c r="H146">
        <v>0.2</v>
      </c>
      <c r="I146">
        <v>0</v>
      </c>
      <c r="J146" t="s">
        <v>19</v>
      </c>
      <c r="K146" t="s">
        <v>19</v>
      </c>
      <c r="L146" t="s">
        <v>19</v>
      </c>
      <c r="M146" t="s">
        <v>19</v>
      </c>
      <c r="N146">
        <v>1</v>
      </c>
    </row>
    <row r="147" spans="1:14" x14ac:dyDescent="0.25">
      <c r="A147">
        <v>146</v>
      </c>
      <c r="B147">
        <v>4</v>
      </c>
      <c r="C147" s="7">
        <v>45112</v>
      </c>
      <c r="D147" s="9" t="s">
        <v>25</v>
      </c>
      <c r="E147" t="s">
        <v>16</v>
      </c>
      <c r="F147" t="s">
        <v>17</v>
      </c>
      <c r="G147" t="s">
        <v>24</v>
      </c>
      <c r="H147">
        <v>0.2</v>
      </c>
      <c r="I147">
        <v>0</v>
      </c>
      <c r="J147" t="s">
        <v>19</v>
      </c>
      <c r="K147" t="s">
        <v>19</v>
      </c>
      <c r="L147" t="s">
        <v>19</v>
      </c>
      <c r="M147" t="s">
        <v>19</v>
      </c>
      <c r="N147">
        <v>0</v>
      </c>
    </row>
    <row r="148" spans="1:14" x14ac:dyDescent="0.25">
      <c r="A148">
        <v>147</v>
      </c>
      <c r="B148">
        <v>4</v>
      </c>
      <c r="C148" s="7">
        <v>45112</v>
      </c>
      <c r="D148" s="9" t="s">
        <v>25</v>
      </c>
      <c r="E148" t="s">
        <v>16</v>
      </c>
      <c r="F148" t="s">
        <v>17</v>
      </c>
      <c r="G148" t="s">
        <v>24</v>
      </c>
      <c r="H148">
        <v>0.2</v>
      </c>
      <c r="I148">
        <v>1</v>
      </c>
      <c r="J148">
        <v>13</v>
      </c>
      <c r="K148">
        <v>0</v>
      </c>
      <c r="L148">
        <f t="shared" ref="L148:L149" si="7">(J148-K148)/(J148+K148)</f>
        <v>1</v>
      </c>
      <c r="M148" t="s">
        <v>27</v>
      </c>
    </row>
    <row r="149" spans="1:14" x14ac:dyDescent="0.25">
      <c r="A149">
        <v>148</v>
      </c>
      <c r="B149">
        <v>4</v>
      </c>
      <c r="C149" s="7">
        <v>45112</v>
      </c>
      <c r="D149" s="9" t="s">
        <v>25</v>
      </c>
      <c r="E149" t="s">
        <v>16</v>
      </c>
      <c r="F149" t="s">
        <v>17</v>
      </c>
      <c r="G149" t="s">
        <v>24</v>
      </c>
      <c r="H149">
        <v>0.2</v>
      </c>
      <c r="I149">
        <v>1</v>
      </c>
      <c r="J149">
        <v>0</v>
      </c>
      <c r="K149">
        <v>11</v>
      </c>
      <c r="L149">
        <f t="shared" si="7"/>
        <v>-1</v>
      </c>
      <c r="M149" t="s">
        <v>28</v>
      </c>
    </row>
    <row r="150" spans="1:14" x14ac:dyDescent="0.25">
      <c r="A150">
        <v>149</v>
      </c>
      <c r="B150">
        <v>4</v>
      </c>
      <c r="C150" s="7">
        <v>45112</v>
      </c>
      <c r="D150" s="9" t="s">
        <v>25</v>
      </c>
      <c r="E150" t="s">
        <v>16</v>
      </c>
      <c r="F150" t="s">
        <v>17</v>
      </c>
      <c r="G150" t="s">
        <v>24</v>
      </c>
      <c r="H150">
        <v>0.2</v>
      </c>
      <c r="I150">
        <v>0</v>
      </c>
      <c r="J150" t="s">
        <v>19</v>
      </c>
      <c r="K150" t="s">
        <v>19</v>
      </c>
      <c r="L150" t="s">
        <v>19</v>
      </c>
      <c r="M150" t="s">
        <v>19</v>
      </c>
      <c r="N150">
        <v>1</v>
      </c>
    </row>
    <row r="151" spans="1:14" x14ac:dyDescent="0.25">
      <c r="A151">
        <v>150</v>
      </c>
      <c r="B151">
        <v>4</v>
      </c>
      <c r="C151" s="7">
        <v>45112</v>
      </c>
      <c r="D151" s="9" t="s">
        <v>25</v>
      </c>
      <c r="E151" t="s">
        <v>16</v>
      </c>
      <c r="F151" t="s">
        <v>17</v>
      </c>
      <c r="G151" t="s">
        <v>24</v>
      </c>
      <c r="H151">
        <v>0.2</v>
      </c>
      <c r="I151">
        <v>0</v>
      </c>
      <c r="J151" t="s">
        <v>19</v>
      </c>
      <c r="K151" t="s">
        <v>19</v>
      </c>
      <c r="L151" t="s">
        <v>19</v>
      </c>
      <c r="M151" t="s">
        <v>19</v>
      </c>
      <c r="N151">
        <v>1</v>
      </c>
    </row>
    <row r="152" spans="1:14" x14ac:dyDescent="0.25">
      <c r="A152">
        <v>151</v>
      </c>
      <c r="B152">
        <v>4</v>
      </c>
      <c r="C152" s="7">
        <v>45112</v>
      </c>
      <c r="D152" s="9" t="s">
        <v>25</v>
      </c>
      <c r="E152" t="s">
        <v>16</v>
      </c>
      <c r="F152" t="s">
        <v>17</v>
      </c>
      <c r="G152" t="s">
        <v>26</v>
      </c>
      <c r="H152">
        <v>2</v>
      </c>
      <c r="I152">
        <v>0</v>
      </c>
      <c r="J152" t="s">
        <v>19</v>
      </c>
      <c r="K152" t="s">
        <v>19</v>
      </c>
      <c r="L152" t="s">
        <v>19</v>
      </c>
      <c r="M152" t="s">
        <v>19</v>
      </c>
      <c r="N152" t="s">
        <v>19</v>
      </c>
    </row>
    <row r="153" spans="1:14" x14ac:dyDescent="0.25">
      <c r="A153">
        <v>152</v>
      </c>
      <c r="B153">
        <v>4</v>
      </c>
      <c r="C153" s="7">
        <v>45112</v>
      </c>
      <c r="D153" s="9" t="s">
        <v>25</v>
      </c>
      <c r="E153" t="s">
        <v>16</v>
      </c>
      <c r="F153" t="s">
        <v>17</v>
      </c>
      <c r="G153" t="s">
        <v>26</v>
      </c>
      <c r="H153">
        <v>2</v>
      </c>
      <c r="I153">
        <v>1</v>
      </c>
      <c r="J153">
        <v>1</v>
      </c>
      <c r="K153">
        <v>0</v>
      </c>
      <c r="L153">
        <f t="shared" ref="L153" si="8">(J153-K153)/(J153+K153)</f>
        <v>1</v>
      </c>
      <c r="M153" t="s">
        <v>27</v>
      </c>
    </row>
    <row r="154" spans="1:14" x14ac:dyDescent="0.25">
      <c r="A154">
        <v>153</v>
      </c>
      <c r="B154">
        <v>4</v>
      </c>
      <c r="C154" s="7">
        <v>45112</v>
      </c>
      <c r="D154" s="9" t="s">
        <v>25</v>
      </c>
      <c r="E154" t="s">
        <v>16</v>
      </c>
      <c r="F154" t="s">
        <v>17</v>
      </c>
      <c r="G154" t="s">
        <v>26</v>
      </c>
      <c r="H154">
        <v>2</v>
      </c>
      <c r="I154">
        <v>0</v>
      </c>
      <c r="J154" t="s">
        <v>19</v>
      </c>
      <c r="K154" t="s">
        <v>19</v>
      </c>
      <c r="L154" t="s">
        <v>19</v>
      </c>
      <c r="M154" t="s">
        <v>19</v>
      </c>
      <c r="N154">
        <v>1</v>
      </c>
    </row>
    <row r="155" spans="1:14" x14ac:dyDescent="0.25">
      <c r="A155">
        <v>154</v>
      </c>
      <c r="B155">
        <v>4</v>
      </c>
      <c r="C155" s="7">
        <v>45112</v>
      </c>
      <c r="D155" s="9" t="s">
        <v>25</v>
      </c>
      <c r="E155" t="s">
        <v>16</v>
      </c>
      <c r="F155" t="s">
        <v>17</v>
      </c>
      <c r="G155" t="s">
        <v>26</v>
      </c>
      <c r="H155">
        <v>2</v>
      </c>
      <c r="I155">
        <v>0</v>
      </c>
      <c r="J155" t="s">
        <v>19</v>
      </c>
      <c r="K155" t="s">
        <v>19</v>
      </c>
      <c r="L155" t="s">
        <v>19</v>
      </c>
      <c r="M155" t="s">
        <v>19</v>
      </c>
      <c r="N155">
        <v>1</v>
      </c>
    </row>
    <row r="156" spans="1:14" x14ac:dyDescent="0.25">
      <c r="A156">
        <v>155</v>
      </c>
      <c r="B156">
        <v>4</v>
      </c>
      <c r="C156" s="7">
        <v>45112</v>
      </c>
      <c r="D156" s="9" t="s">
        <v>25</v>
      </c>
      <c r="E156" t="s">
        <v>16</v>
      </c>
      <c r="F156" t="s">
        <v>17</v>
      </c>
      <c r="G156" t="s">
        <v>26</v>
      </c>
      <c r="H156">
        <v>2</v>
      </c>
      <c r="I156">
        <v>0</v>
      </c>
      <c r="J156" t="s">
        <v>19</v>
      </c>
      <c r="K156" t="s">
        <v>19</v>
      </c>
      <c r="L156" t="s">
        <v>19</v>
      </c>
      <c r="M156" t="s">
        <v>19</v>
      </c>
      <c r="N156">
        <v>0</v>
      </c>
    </row>
    <row r="157" spans="1:14" x14ac:dyDescent="0.25">
      <c r="A157">
        <v>156</v>
      </c>
      <c r="B157">
        <v>4</v>
      </c>
      <c r="C157" s="7">
        <v>45112</v>
      </c>
      <c r="D157" s="9" t="s">
        <v>25</v>
      </c>
      <c r="E157" t="s">
        <v>16</v>
      </c>
      <c r="F157" t="s">
        <v>17</v>
      </c>
      <c r="G157" t="s">
        <v>26</v>
      </c>
      <c r="H157">
        <v>2</v>
      </c>
      <c r="I157">
        <v>0</v>
      </c>
      <c r="J157" t="s">
        <v>19</v>
      </c>
      <c r="K157" t="s">
        <v>19</v>
      </c>
      <c r="L157" t="s">
        <v>19</v>
      </c>
      <c r="M157" t="s">
        <v>19</v>
      </c>
      <c r="N157">
        <v>1</v>
      </c>
    </row>
    <row r="158" spans="1:14" x14ac:dyDescent="0.25">
      <c r="A158">
        <v>157</v>
      </c>
      <c r="B158">
        <v>4</v>
      </c>
      <c r="C158" s="7">
        <v>45112</v>
      </c>
      <c r="D158" s="9" t="s">
        <v>25</v>
      </c>
      <c r="E158" t="s">
        <v>16</v>
      </c>
      <c r="F158" t="s">
        <v>17</v>
      </c>
      <c r="G158" t="s">
        <v>26</v>
      </c>
      <c r="H158">
        <v>2</v>
      </c>
      <c r="I158">
        <v>0</v>
      </c>
      <c r="J158" t="s">
        <v>19</v>
      </c>
      <c r="K158" t="s">
        <v>19</v>
      </c>
      <c r="L158" t="s">
        <v>19</v>
      </c>
      <c r="M158" t="s">
        <v>19</v>
      </c>
      <c r="N158" t="s">
        <v>19</v>
      </c>
    </row>
    <row r="159" spans="1:14" x14ac:dyDescent="0.25">
      <c r="A159">
        <v>158</v>
      </c>
      <c r="B159">
        <v>4</v>
      </c>
      <c r="C159" s="7">
        <v>45112</v>
      </c>
      <c r="D159" s="9" t="s">
        <v>25</v>
      </c>
      <c r="E159" t="s">
        <v>16</v>
      </c>
      <c r="F159" t="s">
        <v>17</v>
      </c>
      <c r="G159" t="s">
        <v>26</v>
      </c>
      <c r="H159">
        <v>2</v>
      </c>
      <c r="I159">
        <v>0</v>
      </c>
      <c r="J159" t="s">
        <v>19</v>
      </c>
      <c r="K159" t="s">
        <v>19</v>
      </c>
      <c r="L159" t="s">
        <v>19</v>
      </c>
      <c r="M159" t="s">
        <v>19</v>
      </c>
      <c r="N159">
        <v>1</v>
      </c>
    </row>
    <row r="160" spans="1:14" x14ac:dyDescent="0.25">
      <c r="A160">
        <v>159</v>
      </c>
      <c r="B160">
        <v>4</v>
      </c>
      <c r="C160" s="7">
        <v>45112</v>
      </c>
      <c r="D160" s="9" t="s">
        <v>25</v>
      </c>
      <c r="E160" t="s">
        <v>16</v>
      </c>
      <c r="F160" t="s">
        <v>17</v>
      </c>
      <c r="G160" t="s">
        <v>26</v>
      </c>
      <c r="H160">
        <v>2</v>
      </c>
      <c r="I160">
        <v>1</v>
      </c>
      <c r="J160">
        <v>52</v>
      </c>
      <c r="K160">
        <v>0</v>
      </c>
      <c r="L160">
        <f t="shared" ref="L160:L161" si="9">(J160-K160)/(J160+K160)</f>
        <v>1</v>
      </c>
      <c r="M160" t="s">
        <v>27</v>
      </c>
    </row>
    <row r="161" spans="1:14" x14ac:dyDescent="0.25">
      <c r="A161">
        <v>160</v>
      </c>
      <c r="B161">
        <v>4</v>
      </c>
      <c r="C161" s="7">
        <v>45112</v>
      </c>
      <c r="D161" s="9" t="s">
        <v>25</v>
      </c>
      <c r="E161" t="s">
        <v>16</v>
      </c>
      <c r="F161" t="s">
        <v>17</v>
      </c>
      <c r="G161" t="s">
        <v>26</v>
      </c>
      <c r="H161">
        <v>2</v>
      </c>
      <c r="I161">
        <v>1</v>
      </c>
      <c r="J161">
        <v>17</v>
      </c>
      <c r="K161">
        <v>0</v>
      </c>
      <c r="L161">
        <f t="shared" si="9"/>
        <v>1</v>
      </c>
      <c r="M161" t="s">
        <v>27</v>
      </c>
    </row>
    <row r="162" spans="1:14" x14ac:dyDescent="0.25">
      <c r="A162">
        <v>161</v>
      </c>
      <c r="B162">
        <v>5</v>
      </c>
      <c r="C162" s="7">
        <v>45119</v>
      </c>
      <c r="D162" s="9" t="s">
        <v>25</v>
      </c>
      <c r="E162" t="s">
        <v>16</v>
      </c>
      <c r="F162" t="s">
        <v>17</v>
      </c>
      <c r="G162" t="s">
        <v>18</v>
      </c>
      <c r="H162">
        <v>0</v>
      </c>
      <c r="I162">
        <v>0</v>
      </c>
      <c r="J162" t="s">
        <v>19</v>
      </c>
      <c r="K162" t="s">
        <v>19</v>
      </c>
      <c r="L162" t="s">
        <v>19</v>
      </c>
      <c r="M162" t="s">
        <v>19</v>
      </c>
      <c r="N162">
        <v>1</v>
      </c>
    </row>
    <row r="163" spans="1:14" x14ac:dyDescent="0.25">
      <c r="A163">
        <v>162</v>
      </c>
      <c r="B163">
        <v>5</v>
      </c>
      <c r="C163" s="7">
        <v>45119</v>
      </c>
      <c r="D163" s="9" t="s">
        <v>25</v>
      </c>
      <c r="E163" t="s">
        <v>16</v>
      </c>
      <c r="F163" t="s">
        <v>17</v>
      </c>
      <c r="G163" t="s">
        <v>18</v>
      </c>
      <c r="H163">
        <v>0</v>
      </c>
      <c r="I163">
        <v>0</v>
      </c>
      <c r="J163" t="s">
        <v>19</v>
      </c>
      <c r="K163" t="s">
        <v>19</v>
      </c>
      <c r="L163" t="s">
        <v>19</v>
      </c>
      <c r="M163" t="s">
        <v>19</v>
      </c>
      <c r="N163" t="s">
        <v>19</v>
      </c>
    </row>
    <row r="164" spans="1:14" x14ac:dyDescent="0.25">
      <c r="A164">
        <v>163</v>
      </c>
      <c r="B164">
        <v>5</v>
      </c>
      <c r="C164" s="7">
        <v>45119</v>
      </c>
      <c r="D164" s="9" t="s">
        <v>25</v>
      </c>
      <c r="E164" t="s">
        <v>16</v>
      </c>
      <c r="F164" t="s">
        <v>17</v>
      </c>
      <c r="G164" t="s">
        <v>18</v>
      </c>
      <c r="H164">
        <v>0</v>
      </c>
      <c r="I164">
        <v>1</v>
      </c>
      <c r="J164">
        <v>91</v>
      </c>
      <c r="K164">
        <v>0</v>
      </c>
      <c r="L164">
        <f t="shared" ref="L164:L172" si="10">(J164-K164)/(J164+K164)</f>
        <v>1</v>
      </c>
      <c r="M164" t="s">
        <v>27</v>
      </c>
    </row>
    <row r="165" spans="1:14" x14ac:dyDescent="0.25">
      <c r="A165">
        <v>164</v>
      </c>
      <c r="B165">
        <v>5</v>
      </c>
      <c r="C165" s="7">
        <v>45119</v>
      </c>
      <c r="D165" s="9" t="s">
        <v>25</v>
      </c>
      <c r="E165" t="s">
        <v>16</v>
      </c>
      <c r="F165" t="s">
        <v>17</v>
      </c>
      <c r="G165" t="s">
        <v>18</v>
      </c>
      <c r="H165">
        <v>0</v>
      </c>
      <c r="I165">
        <v>1</v>
      </c>
      <c r="J165">
        <v>12</v>
      </c>
      <c r="K165">
        <v>3</v>
      </c>
      <c r="L165">
        <f t="shared" si="10"/>
        <v>0.6</v>
      </c>
      <c r="M165" t="s">
        <v>27</v>
      </c>
    </row>
    <row r="166" spans="1:14" x14ac:dyDescent="0.25">
      <c r="A166">
        <v>165</v>
      </c>
      <c r="B166">
        <v>5</v>
      </c>
      <c r="C166" s="7">
        <v>45119</v>
      </c>
      <c r="D166" s="9" t="s">
        <v>25</v>
      </c>
      <c r="E166" t="s">
        <v>16</v>
      </c>
      <c r="F166" t="s">
        <v>17</v>
      </c>
      <c r="G166" t="s">
        <v>18</v>
      </c>
      <c r="H166">
        <v>0</v>
      </c>
      <c r="I166">
        <v>1</v>
      </c>
      <c r="J166">
        <v>14</v>
      </c>
      <c r="K166">
        <v>17</v>
      </c>
      <c r="L166">
        <f t="shared" si="10"/>
        <v>-9.6774193548387094E-2</v>
      </c>
      <c r="M166" t="s">
        <v>28</v>
      </c>
    </row>
    <row r="167" spans="1:14" x14ac:dyDescent="0.25">
      <c r="A167">
        <v>166</v>
      </c>
      <c r="B167">
        <v>5</v>
      </c>
      <c r="C167" s="7">
        <v>45119</v>
      </c>
      <c r="D167" s="9" t="s">
        <v>25</v>
      </c>
      <c r="E167" t="s">
        <v>16</v>
      </c>
      <c r="F167" t="s">
        <v>17</v>
      </c>
      <c r="G167" t="s">
        <v>18</v>
      </c>
      <c r="H167">
        <v>0</v>
      </c>
      <c r="I167">
        <v>1</v>
      </c>
      <c r="J167">
        <v>12</v>
      </c>
      <c r="K167">
        <v>15</v>
      </c>
      <c r="L167">
        <f t="shared" si="10"/>
        <v>-0.1111111111111111</v>
      </c>
      <c r="M167" t="s">
        <v>28</v>
      </c>
    </row>
    <row r="168" spans="1:14" x14ac:dyDescent="0.25">
      <c r="A168">
        <v>167</v>
      </c>
      <c r="B168">
        <v>5</v>
      </c>
      <c r="C168" s="7">
        <v>45119</v>
      </c>
      <c r="D168" s="9" t="s">
        <v>25</v>
      </c>
      <c r="E168" t="s">
        <v>16</v>
      </c>
      <c r="F168" t="s">
        <v>17</v>
      </c>
      <c r="G168" t="s">
        <v>18</v>
      </c>
      <c r="H168">
        <v>0</v>
      </c>
      <c r="I168">
        <v>1</v>
      </c>
      <c r="J168">
        <v>36</v>
      </c>
      <c r="K168">
        <v>0</v>
      </c>
      <c r="L168">
        <f t="shared" si="10"/>
        <v>1</v>
      </c>
      <c r="M168" t="s">
        <v>27</v>
      </c>
    </row>
    <row r="169" spans="1:14" x14ac:dyDescent="0.25">
      <c r="A169">
        <v>168</v>
      </c>
      <c r="B169">
        <v>5</v>
      </c>
      <c r="C169" s="7">
        <v>45119</v>
      </c>
      <c r="D169" s="9" t="s">
        <v>25</v>
      </c>
      <c r="E169" t="s">
        <v>16</v>
      </c>
      <c r="F169" t="s">
        <v>17</v>
      </c>
      <c r="G169" t="s">
        <v>18</v>
      </c>
      <c r="H169">
        <v>0</v>
      </c>
      <c r="I169">
        <v>1</v>
      </c>
      <c r="J169">
        <v>1</v>
      </c>
      <c r="K169">
        <v>58</v>
      </c>
      <c r="L169">
        <f t="shared" si="10"/>
        <v>-0.96610169491525422</v>
      </c>
      <c r="M169" t="s">
        <v>28</v>
      </c>
    </row>
    <row r="170" spans="1:14" x14ac:dyDescent="0.25">
      <c r="A170">
        <v>169</v>
      </c>
      <c r="B170">
        <v>5</v>
      </c>
      <c r="C170" s="7">
        <v>45119</v>
      </c>
      <c r="D170" s="9" t="s">
        <v>25</v>
      </c>
      <c r="E170" t="s">
        <v>16</v>
      </c>
      <c r="F170" t="s">
        <v>17</v>
      </c>
      <c r="G170" t="s">
        <v>18</v>
      </c>
      <c r="H170">
        <v>0</v>
      </c>
      <c r="I170">
        <v>1</v>
      </c>
      <c r="J170">
        <v>0</v>
      </c>
      <c r="K170">
        <v>10</v>
      </c>
      <c r="L170">
        <f t="shared" si="10"/>
        <v>-1</v>
      </c>
      <c r="M170" t="s">
        <v>28</v>
      </c>
    </row>
    <row r="171" spans="1:14" x14ac:dyDescent="0.25">
      <c r="A171">
        <v>170</v>
      </c>
      <c r="B171">
        <v>5</v>
      </c>
      <c r="C171" s="7">
        <v>45119</v>
      </c>
      <c r="D171" s="9" t="s">
        <v>25</v>
      </c>
      <c r="E171" t="s">
        <v>16</v>
      </c>
      <c r="F171" t="s">
        <v>17</v>
      </c>
      <c r="G171" t="s">
        <v>18</v>
      </c>
      <c r="H171">
        <v>0</v>
      </c>
      <c r="I171">
        <v>1</v>
      </c>
      <c r="J171">
        <v>10</v>
      </c>
      <c r="K171">
        <v>25</v>
      </c>
      <c r="L171">
        <f t="shared" si="10"/>
        <v>-0.42857142857142855</v>
      </c>
      <c r="M171" t="s">
        <v>28</v>
      </c>
    </row>
    <row r="172" spans="1:14" x14ac:dyDescent="0.25">
      <c r="A172">
        <v>171</v>
      </c>
      <c r="B172">
        <v>5</v>
      </c>
      <c r="C172" s="7">
        <v>45119</v>
      </c>
      <c r="D172" s="9" t="s">
        <v>25</v>
      </c>
      <c r="E172" t="s">
        <v>16</v>
      </c>
      <c r="F172" t="s">
        <v>17</v>
      </c>
      <c r="G172" t="s">
        <v>23</v>
      </c>
      <c r="H172">
        <v>0.02</v>
      </c>
      <c r="I172">
        <v>1</v>
      </c>
      <c r="J172">
        <v>36</v>
      </c>
      <c r="K172">
        <v>22</v>
      </c>
      <c r="L172">
        <f t="shared" si="10"/>
        <v>0.2413793103448276</v>
      </c>
      <c r="M172" t="s">
        <v>27</v>
      </c>
    </row>
    <row r="173" spans="1:14" x14ac:dyDescent="0.25">
      <c r="A173">
        <v>172</v>
      </c>
      <c r="B173">
        <v>5</v>
      </c>
      <c r="C173" s="7">
        <v>45119</v>
      </c>
      <c r="D173" s="9" t="s">
        <v>25</v>
      </c>
      <c r="E173" t="s">
        <v>16</v>
      </c>
      <c r="F173" t="s">
        <v>17</v>
      </c>
      <c r="G173" t="s">
        <v>23</v>
      </c>
      <c r="H173">
        <v>0.02</v>
      </c>
      <c r="I173">
        <v>0</v>
      </c>
      <c r="J173" t="s">
        <v>19</v>
      </c>
      <c r="K173" t="s">
        <v>19</v>
      </c>
      <c r="L173" t="s">
        <v>19</v>
      </c>
      <c r="M173" t="s">
        <v>19</v>
      </c>
      <c r="N173">
        <v>1</v>
      </c>
    </row>
    <row r="174" spans="1:14" x14ac:dyDescent="0.25">
      <c r="A174">
        <v>173</v>
      </c>
      <c r="B174">
        <v>5</v>
      </c>
      <c r="C174" s="7">
        <v>45119</v>
      </c>
      <c r="D174" s="9" t="s">
        <v>25</v>
      </c>
      <c r="E174" t="s">
        <v>16</v>
      </c>
      <c r="F174" t="s">
        <v>17</v>
      </c>
      <c r="G174" t="s">
        <v>23</v>
      </c>
      <c r="H174">
        <v>0.02</v>
      </c>
      <c r="I174">
        <v>1</v>
      </c>
      <c r="J174">
        <v>4</v>
      </c>
      <c r="K174">
        <v>34</v>
      </c>
      <c r="L174">
        <f t="shared" ref="L174:L179" si="11">(J174-K174)/(J174+K174)</f>
        <v>-0.78947368421052633</v>
      </c>
      <c r="M174" t="s">
        <v>28</v>
      </c>
    </row>
    <row r="175" spans="1:14" x14ac:dyDescent="0.25">
      <c r="A175">
        <v>174</v>
      </c>
      <c r="B175">
        <v>5</v>
      </c>
      <c r="C175" s="7">
        <v>45119</v>
      </c>
      <c r="D175" s="9" t="s">
        <v>25</v>
      </c>
      <c r="E175" t="s">
        <v>16</v>
      </c>
      <c r="F175" t="s">
        <v>17</v>
      </c>
      <c r="G175" t="s">
        <v>23</v>
      </c>
      <c r="H175">
        <v>0.02</v>
      </c>
      <c r="I175">
        <v>1</v>
      </c>
      <c r="J175">
        <v>0</v>
      </c>
      <c r="K175">
        <v>32</v>
      </c>
      <c r="L175">
        <f t="shared" si="11"/>
        <v>-1</v>
      </c>
      <c r="M175" t="s">
        <v>28</v>
      </c>
    </row>
    <row r="176" spans="1:14" x14ac:dyDescent="0.25">
      <c r="A176">
        <v>175</v>
      </c>
      <c r="B176">
        <v>5</v>
      </c>
      <c r="C176" s="7">
        <v>45119</v>
      </c>
      <c r="D176" s="9" t="s">
        <v>25</v>
      </c>
      <c r="E176" t="s">
        <v>16</v>
      </c>
      <c r="F176" t="s">
        <v>17</v>
      </c>
      <c r="G176" t="s">
        <v>23</v>
      </c>
      <c r="H176">
        <v>0.02</v>
      </c>
      <c r="I176">
        <v>1</v>
      </c>
      <c r="J176">
        <v>0</v>
      </c>
      <c r="K176">
        <v>27</v>
      </c>
      <c r="L176">
        <f t="shared" si="11"/>
        <v>-1</v>
      </c>
      <c r="M176" t="s">
        <v>28</v>
      </c>
    </row>
    <row r="177" spans="1:14" x14ac:dyDescent="0.25">
      <c r="A177">
        <v>176</v>
      </c>
      <c r="B177">
        <v>5</v>
      </c>
      <c r="C177" s="7">
        <v>45119</v>
      </c>
      <c r="D177" s="9" t="s">
        <v>25</v>
      </c>
      <c r="E177" t="s">
        <v>16</v>
      </c>
      <c r="F177" t="s">
        <v>17</v>
      </c>
      <c r="G177" t="s">
        <v>23</v>
      </c>
      <c r="H177">
        <v>0.02</v>
      </c>
      <c r="I177">
        <v>1</v>
      </c>
      <c r="J177">
        <v>46</v>
      </c>
      <c r="K177">
        <v>10</v>
      </c>
      <c r="L177">
        <f t="shared" si="11"/>
        <v>0.6428571428571429</v>
      </c>
      <c r="M177" t="s">
        <v>27</v>
      </c>
    </row>
    <row r="178" spans="1:14" x14ac:dyDescent="0.25">
      <c r="A178">
        <v>177</v>
      </c>
      <c r="B178">
        <v>5</v>
      </c>
      <c r="C178" s="7">
        <v>45119</v>
      </c>
      <c r="D178" s="9" t="s">
        <v>25</v>
      </c>
      <c r="E178" t="s">
        <v>16</v>
      </c>
      <c r="F178" t="s">
        <v>17</v>
      </c>
      <c r="G178" t="s">
        <v>23</v>
      </c>
      <c r="H178">
        <v>0.02</v>
      </c>
      <c r="I178">
        <v>1</v>
      </c>
      <c r="J178">
        <v>0</v>
      </c>
      <c r="K178">
        <v>8</v>
      </c>
      <c r="L178">
        <f t="shared" si="11"/>
        <v>-1</v>
      </c>
      <c r="M178" t="s">
        <v>28</v>
      </c>
    </row>
    <row r="179" spans="1:14" x14ac:dyDescent="0.25">
      <c r="A179">
        <v>178</v>
      </c>
      <c r="B179">
        <v>5</v>
      </c>
      <c r="C179" s="7">
        <v>45119</v>
      </c>
      <c r="D179" s="9" t="s">
        <v>25</v>
      </c>
      <c r="E179" t="s">
        <v>16</v>
      </c>
      <c r="F179" t="s">
        <v>17</v>
      </c>
      <c r="G179" t="s">
        <v>23</v>
      </c>
      <c r="H179">
        <v>0.02</v>
      </c>
      <c r="I179">
        <v>1</v>
      </c>
      <c r="J179">
        <v>12</v>
      </c>
      <c r="K179">
        <v>22</v>
      </c>
      <c r="L179">
        <f t="shared" si="11"/>
        <v>-0.29411764705882354</v>
      </c>
      <c r="M179" t="s">
        <v>28</v>
      </c>
    </row>
    <row r="180" spans="1:14" x14ac:dyDescent="0.25">
      <c r="A180">
        <v>179</v>
      </c>
      <c r="B180">
        <v>5</v>
      </c>
      <c r="C180" s="7">
        <v>45119</v>
      </c>
      <c r="D180" s="9" t="s">
        <v>25</v>
      </c>
      <c r="E180" t="s">
        <v>16</v>
      </c>
      <c r="F180" t="s">
        <v>17</v>
      </c>
      <c r="G180" t="s">
        <v>23</v>
      </c>
      <c r="H180">
        <v>0.02</v>
      </c>
      <c r="I180">
        <v>0</v>
      </c>
      <c r="J180" t="s">
        <v>19</v>
      </c>
      <c r="K180" t="s">
        <v>19</v>
      </c>
      <c r="L180" t="s">
        <v>19</v>
      </c>
      <c r="M180" t="s">
        <v>19</v>
      </c>
      <c r="N180">
        <v>1</v>
      </c>
    </row>
    <row r="181" spans="1:14" x14ac:dyDescent="0.25">
      <c r="A181">
        <v>180</v>
      </c>
      <c r="B181">
        <v>5</v>
      </c>
      <c r="C181" s="7">
        <v>45119</v>
      </c>
      <c r="D181" s="9" t="s">
        <v>25</v>
      </c>
      <c r="E181" t="s">
        <v>16</v>
      </c>
      <c r="F181" t="s">
        <v>17</v>
      </c>
      <c r="G181" t="s">
        <v>23</v>
      </c>
      <c r="H181">
        <v>0.02</v>
      </c>
      <c r="I181">
        <v>1</v>
      </c>
      <c r="J181">
        <v>0</v>
      </c>
      <c r="K181">
        <v>43</v>
      </c>
      <c r="L181">
        <f t="shared" ref="L181:L183" si="12">(J181-K181)/(J181+K181)</f>
        <v>-1</v>
      </c>
      <c r="M181" t="s">
        <v>28</v>
      </c>
    </row>
    <row r="182" spans="1:14" x14ac:dyDescent="0.25">
      <c r="A182">
        <v>181</v>
      </c>
      <c r="B182">
        <v>5</v>
      </c>
      <c r="C182" s="7">
        <v>45119</v>
      </c>
      <c r="D182" s="9" t="s">
        <v>25</v>
      </c>
      <c r="E182" t="s">
        <v>16</v>
      </c>
      <c r="F182" t="s">
        <v>17</v>
      </c>
      <c r="G182" t="s">
        <v>24</v>
      </c>
      <c r="H182">
        <v>0.2</v>
      </c>
      <c r="I182">
        <v>1</v>
      </c>
      <c r="J182">
        <v>0</v>
      </c>
      <c r="K182">
        <v>12</v>
      </c>
      <c r="L182">
        <f t="shared" si="12"/>
        <v>-1</v>
      </c>
      <c r="M182" t="s">
        <v>28</v>
      </c>
    </row>
    <row r="183" spans="1:14" x14ac:dyDescent="0.25">
      <c r="A183">
        <v>182</v>
      </c>
      <c r="B183">
        <v>5</v>
      </c>
      <c r="C183" s="7">
        <v>45119</v>
      </c>
      <c r="D183" s="9" t="s">
        <v>25</v>
      </c>
      <c r="E183" t="s">
        <v>16</v>
      </c>
      <c r="F183" t="s">
        <v>17</v>
      </c>
      <c r="G183" t="s">
        <v>24</v>
      </c>
      <c r="H183">
        <v>0.2</v>
      </c>
      <c r="I183">
        <v>1</v>
      </c>
      <c r="J183">
        <v>85</v>
      </c>
      <c r="K183">
        <v>1</v>
      </c>
      <c r="L183">
        <f t="shared" si="12"/>
        <v>0.97674418604651159</v>
      </c>
      <c r="M183" t="s">
        <v>27</v>
      </c>
    </row>
    <row r="184" spans="1:14" x14ac:dyDescent="0.25">
      <c r="A184">
        <v>183</v>
      </c>
      <c r="B184">
        <v>5</v>
      </c>
      <c r="C184" s="7">
        <v>45119</v>
      </c>
      <c r="D184" s="9" t="s">
        <v>25</v>
      </c>
      <c r="E184" t="s">
        <v>16</v>
      </c>
      <c r="F184" t="s">
        <v>17</v>
      </c>
      <c r="G184" t="s">
        <v>24</v>
      </c>
      <c r="H184">
        <v>0.2</v>
      </c>
      <c r="I184">
        <v>0</v>
      </c>
      <c r="J184" t="s">
        <v>19</v>
      </c>
      <c r="K184" t="s">
        <v>19</v>
      </c>
      <c r="L184" t="s">
        <v>19</v>
      </c>
      <c r="M184" t="s">
        <v>19</v>
      </c>
      <c r="N184">
        <v>0</v>
      </c>
    </row>
    <row r="185" spans="1:14" x14ac:dyDescent="0.25">
      <c r="A185">
        <v>184</v>
      </c>
      <c r="B185">
        <v>5</v>
      </c>
      <c r="C185" s="7">
        <v>45119</v>
      </c>
      <c r="D185" s="9" t="s">
        <v>25</v>
      </c>
      <c r="E185" t="s">
        <v>16</v>
      </c>
      <c r="F185" t="s">
        <v>17</v>
      </c>
      <c r="G185" t="s">
        <v>24</v>
      </c>
      <c r="H185">
        <v>0.2</v>
      </c>
      <c r="I185">
        <v>1</v>
      </c>
      <c r="J185">
        <v>0</v>
      </c>
      <c r="K185">
        <v>45</v>
      </c>
      <c r="L185">
        <f t="shared" ref="L185:L189" si="13">(J185-K185)/(J185+K185)</f>
        <v>-1</v>
      </c>
      <c r="M185" t="s">
        <v>28</v>
      </c>
    </row>
    <row r="186" spans="1:14" x14ac:dyDescent="0.25">
      <c r="A186">
        <v>185</v>
      </c>
      <c r="B186">
        <v>5</v>
      </c>
      <c r="C186" s="7">
        <v>45119</v>
      </c>
      <c r="D186" s="9" t="s">
        <v>25</v>
      </c>
      <c r="E186" t="s">
        <v>16</v>
      </c>
      <c r="F186" t="s">
        <v>17</v>
      </c>
      <c r="G186" t="s">
        <v>24</v>
      </c>
      <c r="H186">
        <v>0.2</v>
      </c>
      <c r="I186">
        <v>1</v>
      </c>
      <c r="J186">
        <v>10</v>
      </c>
      <c r="K186">
        <v>42</v>
      </c>
      <c r="L186">
        <f t="shared" si="13"/>
        <v>-0.61538461538461542</v>
      </c>
      <c r="M186" t="s">
        <v>28</v>
      </c>
    </row>
    <row r="187" spans="1:14" x14ac:dyDescent="0.25">
      <c r="A187">
        <v>186</v>
      </c>
      <c r="B187">
        <v>5</v>
      </c>
      <c r="C187" s="7">
        <v>45119</v>
      </c>
      <c r="D187" s="9" t="s">
        <v>25</v>
      </c>
      <c r="E187" t="s">
        <v>16</v>
      </c>
      <c r="F187" t="s">
        <v>17</v>
      </c>
      <c r="G187" t="s">
        <v>24</v>
      </c>
      <c r="H187">
        <v>0.2</v>
      </c>
      <c r="I187">
        <v>1</v>
      </c>
      <c r="J187">
        <v>27</v>
      </c>
      <c r="K187">
        <v>25</v>
      </c>
      <c r="L187">
        <f t="shared" si="13"/>
        <v>3.8461538461538464E-2</v>
      </c>
      <c r="M187" t="s">
        <v>27</v>
      </c>
    </row>
    <row r="188" spans="1:14" x14ac:dyDescent="0.25">
      <c r="A188">
        <v>187</v>
      </c>
      <c r="B188">
        <v>5</v>
      </c>
      <c r="C188" s="7">
        <v>45119</v>
      </c>
      <c r="D188" s="9" t="s">
        <v>25</v>
      </c>
      <c r="E188" t="s">
        <v>16</v>
      </c>
      <c r="F188" t="s">
        <v>17</v>
      </c>
      <c r="G188" t="s">
        <v>24</v>
      </c>
      <c r="H188">
        <v>0.2</v>
      </c>
      <c r="I188">
        <v>1</v>
      </c>
      <c r="J188">
        <v>47</v>
      </c>
      <c r="K188">
        <v>0</v>
      </c>
      <c r="L188">
        <f t="shared" si="13"/>
        <v>1</v>
      </c>
      <c r="M188" t="s">
        <v>27</v>
      </c>
    </row>
    <row r="189" spans="1:14" x14ac:dyDescent="0.25">
      <c r="A189">
        <v>188</v>
      </c>
      <c r="B189">
        <v>5</v>
      </c>
      <c r="C189" s="7">
        <v>45119</v>
      </c>
      <c r="D189" s="9" t="s">
        <v>25</v>
      </c>
      <c r="E189" t="s">
        <v>16</v>
      </c>
      <c r="F189" t="s">
        <v>17</v>
      </c>
      <c r="G189" t="s">
        <v>24</v>
      </c>
      <c r="H189">
        <v>0.2</v>
      </c>
      <c r="I189">
        <v>1</v>
      </c>
      <c r="J189">
        <v>15</v>
      </c>
      <c r="K189">
        <v>0</v>
      </c>
      <c r="L189">
        <f t="shared" si="13"/>
        <v>1</v>
      </c>
      <c r="M189" t="s">
        <v>27</v>
      </c>
    </row>
    <row r="190" spans="1:14" x14ac:dyDescent="0.25">
      <c r="A190">
        <v>189</v>
      </c>
      <c r="B190">
        <v>5</v>
      </c>
      <c r="C190" s="7">
        <v>45119</v>
      </c>
      <c r="D190" s="9" t="s">
        <v>25</v>
      </c>
      <c r="E190" t="s">
        <v>16</v>
      </c>
      <c r="F190" t="s">
        <v>17</v>
      </c>
      <c r="G190" t="s">
        <v>24</v>
      </c>
      <c r="H190">
        <v>0.2</v>
      </c>
      <c r="I190">
        <v>0</v>
      </c>
      <c r="J190" t="s">
        <v>19</v>
      </c>
      <c r="K190" t="s">
        <v>19</v>
      </c>
      <c r="L190" t="s">
        <v>19</v>
      </c>
      <c r="M190" t="s">
        <v>19</v>
      </c>
      <c r="N190">
        <v>1</v>
      </c>
    </row>
    <row r="191" spans="1:14" x14ac:dyDescent="0.25">
      <c r="A191">
        <v>190</v>
      </c>
      <c r="B191">
        <v>5</v>
      </c>
      <c r="C191" s="7">
        <v>45119</v>
      </c>
      <c r="D191" s="9" t="s">
        <v>25</v>
      </c>
      <c r="E191" t="s">
        <v>16</v>
      </c>
      <c r="F191" t="s">
        <v>17</v>
      </c>
      <c r="G191" t="s">
        <v>24</v>
      </c>
      <c r="H191">
        <v>0.2</v>
      </c>
      <c r="I191">
        <v>1</v>
      </c>
      <c r="J191">
        <v>17</v>
      </c>
      <c r="K191">
        <v>21</v>
      </c>
      <c r="L191">
        <f t="shared" ref="L191" si="14">(J191-K191)/(J191+K191)</f>
        <v>-0.10526315789473684</v>
      </c>
      <c r="M191" t="s">
        <v>28</v>
      </c>
    </row>
    <row r="192" spans="1:14" x14ac:dyDescent="0.25">
      <c r="A192">
        <v>191</v>
      </c>
      <c r="B192">
        <v>5</v>
      </c>
      <c r="C192" s="7">
        <v>45119</v>
      </c>
      <c r="D192" s="9" t="s">
        <v>25</v>
      </c>
      <c r="E192" t="s">
        <v>16</v>
      </c>
      <c r="F192" t="s">
        <v>17</v>
      </c>
      <c r="G192" t="s">
        <v>26</v>
      </c>
      <c r="H192">
        <v>2</v>
      </c>
      <c r="I192">
        <v>0</v>
      </c>
      <c r="J192" t="s">
        <v>19</v>
      </c>
      <c r="K192" t="s">
        <v>19</v>
      </c>
      <c r="L192" t="s">
        <v>19</v>
      </c>
      <c r="M192" t="s">
        <v>19</v>
      </c>
      <c r="N192" t="s">
        <v>19</v>
      </c>
    </row>
    <row r="193" spans="1:14" x14ac:dyDescent="0.25">
      <c r="A193">
        <v>192</v>
      </c>
      <c r="B193">
        <v>5</v>
      </c>
      <c r="C193" s="7">
        <v>45119</v>
      </c>
      <c r="D193" s="9" t="s">
        <v>25</v>
      </c>
      <c r="E193" t="s">
        <v>16</v>
      </c>
      <c r="F193" t="s">
        <v>17</v>
      </c>
      <c r="G193" t="s">
        <v>26</v>
      </c>
      <c r="H193">
        <v>2</v>
      </c>
      <c r="I193">
        <v>1</v>
      </c>
      <c r="J193">
        <v>0</v>
      </c>
      <c r="K193">
        <v>19</v>
      </c>
      <c r="L193">
        <f t="shared" ref="L193:L194" si="15">(J193-K193)/(J193+K193)</f>
        <v>-1</v>
      </c>
      <c r="M193" t="s">
        <v>28</v>
      </c>
    </row>
    <row r="194" spans="1:14" x14ac:dyDescent="0.25">
      <c r="A194">
        <v>193</v>
      </c>
      <c r="B194">
        <v>5</v>
      </c>
      <c r="C194" s="7">
        <v>45119</v>
      </c>
      <c r="D194" s="9" t="s">
        <v>25</v>
      </c>
      <c r="E194" t="s">
        <v>16</v>
      </c>
      <c r="F194" t="s">
        <v>17</v>
      </c>
      <c r="G194" t="s">
        <v>26</v>
      </c>
      <c r="H194">
        <v>2</v>
      </c>
      <c r="I194">
        <v>1</v>
      </c>
      <c r="J194">
        <v>34</v>
      </c>
      <c r="K194">
        <v>18</v>
      </c>
      <c r="L194">
        <f t="shared" si="15"/>
        <v>0.30769230769230771</v>
      </c>
      <c r="M194" t="s">
        <v>27</v>
      </c>
    </row>
    <row r="195" spans="1:14" x14ac:dyDescent="0.25">
      <c r="A195">
        <v>194</v>
      </c>
      <c r="B195">
        <v>5</v>
      </c>
      <c r="C195" s="7">
        <v>45119</v>
      </c>
      <c r="D195" s="9" t="s">
        <v>25</v>
      </c>
      <c r="E195" t="s">
        <v>16</v>
      </c>
      <c r="F195" t="s">
        <v>17</v>
      </c>
      <c r="G195" t="s">
        <v>26</v>
      </c>
      <c r="H195">
        <v>2</v>
      </c>
      <c r="I195">
        <v>0</v>
      </c>
      <c r="J195" t="s">
        <v>19</v>
      </c>
      <c r="K195" t="s">
        <v>19</v>
      </c>
      <c r="L195" t="s">
        <v>19</v>
      </c>
      <c r="M195" t="s">
        <v>19</v>
      </c>
      <c r="N195">
        <v>1</v>
      </c>
    </row>
    <row r="196" spans="1:14" x14ac:dyDescent="0.25">
      <c r="A196">
        <v>195</v>
      </c>
      <c r="B196">
        <v>5</v>
      </c>
      <c r="C196" s="7">
        <v>45119</v>
      </c>
      <c r="D196" s="9" t="s">
        <v>25</v>
      </c>
      <c r="E196" t="s">
        <v>16</v>
      </c>
      <c r="F196" t="s">
        <v>17</v>
      </c>
      <c r="G196" t="s">
        <v>26</v>
      </c>
      <c r="H196">
        <v>2</v>
      </c>
      <c r="I196">
        <v>1</v>
      </c>
      <c r="J196">
        <v>1</v>
      </c>
      <c r="K196">
        <v>0</v>
      </c>
      <c r="L196">
        <f t="shared" ref="L196:L199" si="16">(J196-K196)/(J196+K196)</f>
        <v>1</v>
      </c>
      <c r="M196" t="s">
        <v>27</v>
      </c>
    </row>
    <row r="197" spans="1:14" x14ac:dyDescent="0.25">
      <c r="A197">
        <v>196</v>
      </c>
      <c r="B197">
        <v>5</v>
      </c>
      <c r="C197" s="7">
        <v>45119</v>
      </c>
      <c r="D197" s="9" t="s">
        <v>25</v>
      </c>
      <c r="E197" t="s">
        <v>16</v>
      </c>
      <c r="F197" t="s">
        <v>17</v>
      </c>
      <c r="G197" t="s">
        <v>26</v>
      </c>
      <c r="H197">
        <v>2</v>
      </c>
      <c r="I197">
        <v>1</v>
      </c>
      <c r="J197">
        <v>12</v>
      </c>
      <c r="K197">
        <v>32</v>
      </c>
      <c r="L197">
        <f t="shared" si="16"/>
        <v>-0.45454545454545453</v>
      </c>
      <c r="M197" t="s">
        <v>28</v>
      </c>
    </row>
    <row r="198" spans="1:14" x14ac:dyDescent="0.25">
      <c r="A198">
        <v>197</v>
      </c>
      <c r="B198">
        <v>5</v>
      </c>
      <c r="C198" s="7">
        <v>45119</v>
      </c>
      <c r="D198" s="9" t="s">
        <v>25</v>
      </c>
      <c r="E198" t="s">
        <v>16</v>
      </c>
      <c r="F198" t="s">
        <v>17</v>
      </c>
      <c r="G198" t="s">
        <v>26</v>
      </c>
      <c r="H198">
        <v>2</v>
      </c>
      <c r="I198">
        <v>1</v>
      </c>
      <c r="J198">
        <v>24</v>
      </c>
      <c r="K198">
        <v>25</v>
      </c>
      <c r="L198">
        <f t="shared" si="16"/>
        <v>-2.0408163265306121E-2</v>
      </c>
      <c r="M198" t="s">
        <v>28</v>
      </c>
    </row>
    <row r="199" spans="1:14" x14ac:dyDescent="0.25">
      <c r="A199">
        <v>198</v>
      </c>
      <c r="B199">
        <v>5</v>
      </c>
      <c r="C199" s="7">
        <v>45119</v>
      </c>
      <c r="D199" s="9" t="s">
        <v>25</v>
      </c>
      <c r="E199" t="s">
        <v>16</v>
      </c>
      <c r="F199" t="s">
        <v>17</v>
      </c>
      <c r="G199" t="s">
        <v>26</v>
      </c>
      <c r="H199">
        <v>2</v>
      </c>
      <c r="I199">
        <v>1</v>
      </c>
      <c r="J199">
        <v>6</v>
      </c>
      <c r="K199">
        <v>33</v>
      </c>
      <c r="L199">
        <f t="shared" si="16"/>
        <v>-0.69230769230769229</v>
      </c>
      <c r="M199" t="s">
        <v>28</v>
      </c>
    </row>
    <row r="200" spans="1:14" x14ac:dyDescent="0.25">
      <c r="A200">
        <v>199</v>
      </c>
      <c r="B200">
        <v>5</v>
      </c>
      <c r="C200" s="7">
        <v>45119</v>
      </c>
      <c r="D200" s="9" t="s">
        <v>25</v>
      </c>
      <c r="E200" t="s">
        <v>16</v>
      </c>
      <c r="F200" t="s">
        <v>17</v>
      </c>
      <c r="G200" t="s">
        <v>26</v>
      </c>
      <c r="H200">
        <v>2</v>
      </c>
      <c r="I200">
        <v>0</v>
      </c>
      <c r="J200" t="s">
        <v>19</v>
      </c>
      <c r="K200" t="s">
        <v>19</v>
      </c>
      <c r="L200" t="s">
        <v>19</v>
      </c>
      <c r="M200" t="s">
        <v>19</v>
      </c>
      <c r="N200" t="s">
        <v>19</v>
      </c>
    </row>
    <row r="201" spans="1:14" x14ac:dyDescent="0.25">
      <c r="A201">
        <v>200</v>
      </c>
      <c r="B201">
        <v>5</v>
      </c>
      <c r="C201" s="7">
        <v>45119</v>
      </c>
      <c r="D201" s="9" t="s">
        <v>25</v>
      </c>
      <c r="E201" t="s">
        <v>16</v>
      </c>
      <c r="F201" t="s">
        <v>17</v>
      </c>
      <c r="G201" t="s">
        <v>26</v>
      </c>
      <c r="H201">
        <v>2</v>
      </c>
      <c r="I201">
        <v>0</v>
      </c>
      <c r="J201" t="s">
        <v>19</v>
      </c>
      <c r="K201" t="s">
        <v>19</v>
      </c>
      <c r="L201" t="s">
        <v>19</v>
      </c>
      <c r="M201" t="s">
        <v>19</v>
      </c>
      <c r="N201" t="s">
        <v>19</v>
      </c>
    </row>
  </sheetData>
  <autoFilter ref="A1:O201"/>
  <conditionalFormatting sqref="A1:G1">
    <cfRule type="expression" dxfId="15" priority="1">
      <formula>AND(#REF!=0,#REF!="***")</formula>
    </cfRule>
    <cfRule type="expression" dxfId="14" priority="2">
      <formula>AND(#REF!=0,#REF!="**")</formula>
    </cfRule>
    <cfRule type="expression" dxfId="13" priority="3">
      <formula>AND(#REF!=0,#REF!="*")</formula>
    </cfRule>
    <cfRule type="expression" dxfId="12" priority="4">
      <formula>#REF!="***"</formula>
    </cfRule>
    <cfRule type="expression" dxfId="11" priority="5">
      <formula>#REF!="**"</formula>
    </cfRule>
    <cfRule type="expression" dxfId="10" priority="6">
      <formula>#REF!="*"</formula>
    </cfRule>
  </conditionalFormatting>
  <conditionalFormatting sqref="I1:O1">
    <cfRule type="expression" dxfId="9" priority="7">
      <formula>AND(#REF!=0,#REF!="***")</formula>
    </cfRule>
    <cfRule type="expression" dxfId="8" priority="7">
      <formula>AND(#REF!=0,#REF!="**")</formula>
    </cfRule>
    <cfRule type="expression" dxfId="7" priority="8">
      <formula>AND(#REF!=0,#REF!="*")</formula>
    </cfRule>
    <cfRule type="expression" dxfId="6" priority="9">
      <formula>#REF!="***"</formula>
    </cfRule>
    <cfRule type="expression" dxfId="5" priority="10">
      <formula>#REF!="**"</formula>
    </cfRule>
    <cfRule type="expression" dxfId="4" priority="11">
      <formula>#REF!="*"</formula>
    </cfRule>
  </conditionalFormatting>
  <conditionalFormatting sqref="H1">
    <cfRule type="cellIs" dxfId="3" priority="12" operator="equal">
      <formula>0</formula>
    </cfRule>
    <cfRule type="cellIs" dxfId="2" priority="13" operator="equal">
      <formula>0.02</formula>
    </cfRule>
    <cfRule type="cellIs" dxfId="1" priority="14" operator="equal">
      <formula>0.002</formula>
    </cfRule>
    <cfRule type="cellIs" dxfId="0" priority="15" operator="equal">
      <formula>0.0002</formula>
    </cfRule>
    <cfRule type="dataBar" priority="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{7E563222-3FA0-46DF-950F-31BB3D0E41D4}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563222-3FA0-46DF-950F-31BB3D0E41D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6"/>
  <sheetViews>
    <sheetView tabSelected="1" workbookViewId="0">
      <selection activeCell="G34" sqref="G34"/>
    </sheetView>
  </sheetViews>
  <sheetFormatPr baseColWidth="10" defaultRowHeight="15" x14ac:dyDescent="0.25"/>
  <cols>
    <col min="1" max="1" width="21" customWidth="1"/>
    <col min="2" max="2" width="17.85546875" customWidth="1"/>
    <col min="3" max="3" width="16.85546875" customWidth="1"/>
    <col min="4" max="6" width="23.85546875" bestFit="1" customWidth="1"/>
    <col min="7" max="7" width="12.5703125" bestFit="1" customWidth="1"/>
  </cols>
  <sheetData>
    <row r="3" spans="1:3" x14ac:dyDescent="0.25">
      <c r="A3" s="10" t="s">
        <v>31</v>
      </c>
      <c r="B3" t="s">
        <v>34</v>
      </c>
      <c r="C3" t="s">
        <v>35</v>
      </c>
    </row>
    <row r="4" spans="1:3" x14ac:dyDescent="0.25">
      <c r="A4" s="11" t="s">
        <v>18</v>
      </c>
      <c r="B4" s="12">
        <v>0.38666634980751124</v>
      </c>
      <c r="C4" s="12">
        <v>0.70130840873926215</v>
      </c>
    </row>
    <row r="5" spans="1:3" x14ac:dyDescent="0.25">
      <c r="A5" s="11" t="s">
        <v>23</v>
      </c>
      <c r="B5" s="12">
        <v>-0.10877416239346753</v>
      </c>
      <c r="C5" s="12">
        <v>0.82469493169292785</v>
      </c>
    </row>
    <row r="6" spans="1:3" x14ac:dyDescent="0.25">
      <c r="A6" s="11" t="s">
        <v>24</v>
      </c>
      <c r="B6" s="12">
        <v>4.8764215996720546E-2</v>
      </c>
      <c r="C6" s="12">
        <v>0.92260917205160897</v>
      </c>
    </row>
    <row r="7" spans="1:3" x14ac:dyDescent="0.25">
      <c r="A7" s="11" t="s">
        <v>26</v>
      </c>
      <c r="B7" s="12">
        <v>0.18035318350760959</v>
      </c>
      <c r="C7" s="12">
        <v>0.80052855953894297</v>
      </c>
    </row>
    <row r="8" spans="1:3" x14ac:dyDescent="0.25">
      <c r="A8" s="11" t="s">
        <v>30</v>
      </c>
      <c r="B8" s="12">
        <v>0.12638921248387253</v>
      </c>
      <c r="C8" s="12">
        <v>0.82545403565806363</v>
      </c>
    </row>
    <row r="12" spans="1:3" x14ac:dyDescent="0.25">
      <c r="A12" s="13"/>
      <c r="B12" s="13" t="s">
        <v>34</v>
      </c>
      <c r="C12" s="13" t="s">
        <v>35</v>
      </c>
    </row>
    <row r="13" spans="1:3" x14ac:dyDescent="0.25">
      <c r="A13" s="11" t="s">
        <v>18</v>
      </c>
      <c r="B13" s="12">
        <v>0.38666634980751124</v>
      </c>
      <c r="C13" s="12">
        <v>0.70130840873926215</v>
      </c>
    </row>
    <row r="14" spans="1:3" x14ac:dyDescent="0.25">
      <c r="A14" s="11" t="s">
        <v>23</v>
      </c>
      <c r="B14" s="12">
        <v>-0.10877416239346753</v>
      </c>
      <c r="C14" s="12">
        <v>0.82469493169292785</v>
      </c>
    </row>
    <row r="15" spans="1:3" x14ac:dyDescent="0.25">
      <c r="A15" s="11" t="s">
        <v>24</v>
      </c>
      <c r="B15" s="12">
        <v>4.8764215996720546E-2</v>
      </c>
      <c r="C15" s="12">
        <v>0.92260917205160897</v>
      </c>
    </row>
    <row r="16" spans="1:3" x14ac:dyDescent="0.25">
      <c r="A16" s="11" t="s">
        <v>26</v>
      </c>
      <c r="B16" s="12">
        <v>0.18035318350760959</v>
      </c>
      <c r="C16" s="12">
        <v>0.80052855953894297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7"/>
  <sheetViews>
    <sheetView workbookViewId="0">
      <selection activeCell="L14" sqref="L14"/>
    </sheetView>
  </sheetViews>
  <sheetFormatPr baseColWidth="10" defaultRowHeight="15" x14ac:dyDescent="0.25"/>
  <cols>
    <col min="1" max="1" width="21" bestFit="1" customWidth="1"/>
    <col min="2" max="2" width="24.7109375" customWidth="1"/>
    <col min="3" max="3" width="26.140625" bestFit="1" customWidth="1"/>
    <col min="4" max="4" width="23.7109375" bestFit="1" customWidth="1"/>
    <col min="5" max="5" width="25.140625" bestFit="1" customWidth="1"/>
    <col min="6" max="9" width="2" customWidth="1"/>
    <col min="10" max="10" width="3" bestFit="1" customWidth="1"/>
    <col min="11" max="21" width="3" customWidth="1"/>
    <col min="22" max="22" width="3" bestFit="1" customWidth="1"/>
    <col min="23" max="28" width="3" customWidth="1"/>
    <col min="29" max="29" width="3" bestFit="1" customWidth="1"/>
    <col min="30" max="37" width="3" customWidth="1"/>
    <col min="38" max="38" width="3.7109375" customWidth="1"/>
    <col min="39" max="39" width="12.5703125" bestFit="1" customWidth="1"/>
    <col min="40" max="40" width="6.85546875" bestFit="1" customWidth="1"/>
    <col min="41" max="41" width="4.85546875" bestFit="1" customWidth="1"/>
    <col min="42" max="42" width="7.85546875" bestFit="1" customWidth="1"/>
    <col min="43" max="43" width="4.85546875" bestFit="1" customWidth="1"/>
    <col min="44" max="44" width="2" bestFit="1" customWidth="1"/>
    <col min="45" max="45" width="7.85546875" bestFit="1" customWidth="1"/>
    <col min="46" max="46" width="4.85546875" bestFit="1" customWidth="1"/>
    <col min="47" max="47" width="3" bestFit="1" customWidth="1"/>
    <col min="48" max="48" width="7.85546875" bestFit="1" customWidth="1"/>
    <col min="49" max="49" width="4.85546875" bestFit="1" customWidth="1"/>
    <col min="50" max="50" width="3" bestFit="1" customWidth="1"/>
    <col min="51" max="51" width="7.85546875" bestFit="1" customWidth="1"/>
    <col min="52" max="52" width="4.85546875" bestFit="1" customWidth="1"/>
    <col min="53" max="53" width="7.85546875" bestFit="1" customWidth="1"/>
    <col min="54" max="54" width="4.85546875" bestFit="1" customWidth="1"/>
    <col min="55" max="55" width="2" bestFit="1" customWidth="1"/>
    <col min="56" max="56" width="3" bestFit="1" customWidth="1"/>
    <col min="57" max="57" width="7.85546875" bestFit="1" customWidth="1"/>
    <col min="58" max="58" width="4.85546875" bestFit="1" customWidth="1"/>
    <col min="59" max="59" width="3" bestFit="1" customWidth="1"/>
    <col min="60" max="60" width="7.85546875" bestFit="1" customWidth="1"/>
    <col min="61" max="61" width="4.85546875" bestFit="1" customWidth="1"/>
    <col min="62" max="62" width="7.85546875" bestFit="1" customWidth="1"/>
    <col min="63" max="63" width="4.85546875" bestFit="1" customWidth="1"/>
    <col min="64" max="64" width="3" bestFit="1" customWidth="1"/>
    <col min="65" max="65" width="7.85546875" bestFit="1" customWidth="1"/>
    <col min="66" max="66" width="4.85546875" bestFit="1" customWidth="1"/>
    <col min="67" max="67" width="7.85546875" bestFit="1" customWidth="1"/>
    <col min="68" max="68" width="4.85546875" bestFit="1" customWidth="1"/>
    <col min="69" max="69" width="7.85546875" bestFit="1" customWidth="1"/>
    <col min="70" max="70" width="4.85546875" bestFit="1" customWidth="1"/>
    <col min="71" max="71" width="7.85546875" bestFit="1" customWidth="1"/>
    <col min="72" max="72" width="4.85546875" bestFit="1" customWidth="1"/>
    <col min="73" max="73" width="7.85546875" bestFit="1" customWidth="1"/>
    <col min="74" max="74" width="4.85546875" bestFit="1" customWidth="1"/>
    <col min="75" max="75" width="2" bestFit="1" customWidth="1"/>
    <col min="76" max="76" width="7.85546875" bestFit="1" customWidth="1"/>
    <col min="77" max="77" width="4.85546875" bestFit="1" customWidth="1"/>
    <col min="78" max="78" width="3" bestFit="1" customWidth="1"/>
    <col min="79" max="79" width="7.85546875" bestFit="1" customWidth="1"/>
    <col min="80" max="80" width="4.85546875" bestFit="1" customWidth="1"/>
    <col min="81" max="81" width="7.85546875" bestFit="1" customWidth="1"/>
    <col min="82" max="82" width="4.85546875" bestFit="1" customWidth="1"/>
    <col min="83" max="83" width="7.85546875" bestFit="1" customWidth="1"/>
    <col min="84" max="84" width="4.85546875" bestFit="1" customWidth="1"/>
    <col min="85" max="85" width="7.85546875" bestFit="1" customWidth="1"/>
    <col min="86" max="86" width="4.85546875" bestFit="1" customWidth="1"/>
    <col min="87" max="87" width="7.85546875" bestFit="1" customWidth="1"/>
    <col min="88" max="88" width="4.85546875" bestFit="1" customWidth="1"/>
    <col min="89" max="89" width="3" bestFit="1" customWidth="1"/>
    <col min="90" max="90" width="7.85546875" bestFit="1" customWidth="1"/>
    <col min="91" max="91" width="4.85546875" bestFit="1" customWidth="1"/>
    <col min="92" max="92" width="7.85546875" bestFit="1" customWidth="1"/>
    <col min="93" max="93" width="4.85546875" bestFit="1" customWidth="1"/>
    <col min="94" max="94" width="7.85546875" bestFit="1" customWidth="1"/>
    <col min="95" max="95" width="4.85546875" bestFit="1" customWidth="1"/>
    <col min="96" max="96" width="7.85546875" bestFit="1" customWidth="1"/>
    <col min="97" max="97" width="4.85546875" bestFit="1" customWidth="1"/>
    <col min="98" max="98" width="3" bestFit="1" customWidth="1"/>
    <col min="99" max="99" width="7.85546875" bestFit="1" customWidth="1"/>
    <col min="100" max="100" width="4.85546875" bestFit="1" customWidth="1"/>
    <col min="101" max="101" width="7.85546875" bestFit="1" customWidth="1"/>
    <col min="102" max="102" width="4.85546875" bestFit="1" customWidth="1"/>
    <col min="103" max="103" width="7.85546875" bestFit="1" customWidth="1"/>
    <col min="104" max="104" width="4.85546875" bestFit="1" customWidth="1"/>
    <col min="105" max="105" width="7.85546875" bestFit="1" customWidth="1"/>
    <col min="106" max="106" width="4.85546875" bestFit="1" customWidth="1"/>
    <col min="107" max="107" width="7.85546875" bestFit="1" customWidth="1"/>
    <col min="108" max="108" width="4.85546875" bestFit="1" customWidth="1"/>
    <col min="109" max="109" width="7.85546875" bestFit="1" customWidth="1"/>
    <col min="110" max="110" width="4.85546875" bestFit="1" customWidth="1"/>
    <col min="111" max="111" width="7.85546875" bestFit="1" customWidth="1"/>
    <col min="112" max="112" width="4.85546875" bestFit="1" customWidth="1"/>
    <col min="113" max="113" width="7.85546875" bestFit="1" customWidth="1"/>
    <col min="114" max="114" width="4.85546875" bestFit="1" customWidth="1"/>
    <col min="115" max="115" width="7.85546875" bestFit="1" customWidth="1"/>
    <col min="116" max="116" width="4.85546875" bestFit="1" customWidth="1"/>
    <col min="117" max="117" width="7.85546875" bestFit="1" customWidth="1"/>
    <col min="118" max="118" width="4.85546875" bestFit="1" customWidth="1"/>
    <col min="119" max="119" width="7.85546875" bestFit="1" customWidth="1"/>
    <col min="120" max="120" width="4.85546875" bestFit="1" customWidth="1"/>
    <col min="121" max="121" width="2" bestFit="1" customWidth="1"/>
    <col min="122" max="122" width="7.85546875" bestFit="1" customWidth="1"/>
    <col min="123" max="123" width="5.5703125" bestFit="1" customWidth="1"/>
    <col min="124" max="124" width="8.5703125" bestFit="1" customWidth="1"/>
    <col min="125" max="125" width="12.5703125" bestFit="1" customWidth="1"/>
  </cols>
  <sheetData>
    <row r="3" spans="1:5" x14ac:dyDescent="0.25">
      <c r="A3" s="10" t="s">
        <v>31</v>
      </c>
      <c r="B3" t="s">
        <v>33</v>
      </c>
      <c r="C3" t="s">
        <v>32</v>
      </c>
      <c r="D3" t="s">
        <v>36</v>
      </c>
      <c r="E3" t="s">
        <v>37</v>
      </c>
    </row>
    <row r="4" spans="1:5" x14ac:dyDescent="0.25">
      <c r="A4" s="11" t="s">
        <v>18</v>
      </c>
      <c r="B4" s="12">
        <v>31.09090909090909</v>
      </c>
      <c r="C4" s="12">
        <v>11.666666666666666</v>
      </c>
      <c r="D4" s="12">
        <v>27.236652277266515</v>
      </c>
      <c r="E4" s="12">
        <v>17.793374234997323</v>
      </c>
    </row>
    <row r="5" spans="1:5" x14ac:dyDescent="0.25">
      <c r="A5" s="11" t="s">
        <v>23</v>
      </c>
      <c r="B5" s="12">
        <v>19.09375</v>
      </c>
      <c r="C5" s="12">
        <v>21.59375</v>
      </c>
      <c r="D5" s="12">
        <v>19.591570562279436</v>
      </c>
      <c r="E5" s="12">
        <v>19.405452135434651</v>
      </c>
    </row>
    <row r="6" spans="1:5" x14ac:dyDescent="0.25">
      <c r="A6" s="11" t="s">
        <v>24</v>
      </c>
      <c r="B6" s="12">
        <v>19.655172413793103</v>
      </c>
      <c r="C6" s="12">
        <v>16.827586206896552</v>
      </c>
      <c r="D6" s="12">
        <v>23.158268905926708</v>
      </c>
      <c r="E6" s="12">
        <v>21.643324549083161</v>
      </c>
    </row>
    <row r="7" spans="1:5" x14ac:dyDescent="0.25">
      <c r="A7" s="11" t="s">
        <v>26</v>
      </c>
      <c r="B7" s="12">
        <v>19.181818181818183</v>
      </c>
      <c r="C7" s="12">
        <v>12.409090909090908</v>
      </c>
      <c r="D7" s="12">
        <v>19.922794706510153</v>
      </c>
      <c r="E7" s="12">
        <v>13.329734362762755</v>
      </c>
    </row>
    <row r="8" spans="1:5" x14ac:dyDescent="0.25">
      <c r="A8" s="11" t="s">
        <v>30</v>
      </c>
      <c r="B8" s="12">
        <v>22.663793103448278</v>
      </c>
      <c r="C8" s="12">
        <v>15.836206896551724</v>
      </c>
      <c r="D8" s="12">
        <v>23.269664508901318</v>
      </c>
      <c r="E8" s="12">
        <v>18.783408018557338</v>
      </c>
    </row>
    <row r="13" spans="1:5" x14ac:dyDescent="0.25">
      <c r="A13" s="13"/>
      <c r="B13" s="13" t="s">
        <v>33</v>
      </c>
      <c r="C13" s="13" t="s">
        <v>32</v>
      </c>
      <c r="D13" s="13" t="s">
        <v>36</v>
      </c>
      <c r="E13" s="13" t="s">
        <v>37</v>
      </c>
    </row>
    <row r="14" spans="1:5" x14ac:dyDescent="0.25">
      <c r="A14" s="11" t="s">
        <v>18</v>
      </c>
      <c r="B14" s="12">
        <v>31.09090909090909</v>
      </c>
      <c r="C14" s="12">
        <v>11.666666666666666</v>
      </c>
      <c r="D14" s="12">
        <v>27.236652277266515</v>
      </c>
      <c r="E14" s="12">
        <v>17.793374234997323</v>
      </c>
    </row>
    <row r="15" spans="1:5" x14ac:dyDescent="0.25">
      <c r="A15" s="11" t="s">
        <v>23</v>
      </c>
      <c r="B15" s="12">
        <v>19.09375</v>
      </c>
      <c r="C15" s="12">
        <v>21.59375</v>
      </c>
      <c r="D15" s="12">
        <v>19.591570562279436</v>
      </c>
      <c r="E15" s="12">
        <v>19.405452135434651</v>
      </c>
    </row>
    <row r="16" spans="1:5" x14ac:dyDescent="0.25">
      <c r="A16" s="11" t="s">
        <v>24</v>
      </c>
      <c r="B16" s="12">
        <v>19.655172413793103</v>
      </c>
      <c r="C16" s="12">
        <v>16.827586206896552</v>
      </c>
      <c r="D16" s="12">
        <v>23.158268905926708</v>
      </c>
      <c r="E16" s="12">
        <v>21.643324549083161</v>
      </c>
    </row>
    <row r="17" spans="1:5" x14ac:dyDescent="0.25">
      <c r="A17" s="11" t="s">
        <v>26</v>
      </c>
      <c r="B17" s="12">
        <v>19.181818181818183</v>
      </c>
      <c r="C17" s="12">
        <v>12.409090909090908</v>
      </c>
      <c r="D17" s="12">
        <v>19.922794706510153</v>
      </c>
      <c r="E17" s="12">
        <v>13.329734362762755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donnees</vt:lpstr>
      <vt:lpstr>Feuil3</vt:lpstr>
      <vt:lpstr>Feuil2</vt:lpstr>
    </vt:vector>
  </TitlesOfParts>
  <Company>IRD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</dc:creator>
  <cp:lastModifiedBy>IRD</cp:lastModifiedBy>
  <dcterms:created xsi:type="dcterms:W3CDTF">2023-07-07T12:44:55Z</dcterms:created>
  <dcterms:modified xsi:type="dcterms:W3CDTF">2023-07-19T15:29:31Z</dcterms:modified>
</cp:coreProperties>
</file>